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ravel Detail" sheetId="2" r:id="rId6"/>
    <sheet state="visible" name="Program Cost Pro Forma" sheetId="3" r:id="rId7"/>
    <sheet state="visible" name="Appendix — Assumptions" sheetId="4" r:id="rId8"/>
  </sheets>
  <definedNames>
    <definedName hidden="1" localSheetId="1" name="_xlnm._FilterDatabase">'Travel Detail'!$B$6:$T$50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Gas card calc: 1,861 mi ÷ 28 mpg × $3.50/gal × 1.15 contingency = $268. Adjust H12 when actual gas price confirmed. Hotel: 2 nights ($400) — road trip overnight + MN arrival night. Companion return: MSP→MIA one-way ~$200.</t>
      </text>
    </comment>
    <comment authorId="0" ref="J24">
      <text>
        <t xml:space="preserve">211 miles — moved to short-haul flight per 200-250mi policy. IAH→SAT ~$135 Aug. Airport Lyft: Houston home→IAH 25mi XL=$41, SAT→UTSA $25 min. Companion: $270 round-trip IAH↔SAT. Hotel added (has companion per new companion-only hotel rule).</t>
      </text>
    </comment>
    <comment authorId="0" ref="O9">
      <text>
        <t xml:space="preserve">2 hotel nights: 1 overnight en route (driving 2+ days from Miami), 1 night MN arrival before move-in. Verify routing before finalizing.</t>
      </text>
    </comment>
    <comment authorId="0" ref="J35">
      <text>
        <t xml:space="preserve">Switched from Lyft override (DEC-009) to flight. SFO→SBP ~$135 Aug. Airport Lyft: Sonoma→SFO 60mi XL=$99, SBP→campus $25 min. Companion: $270 round-trip SFO↔SBP.</t>
      </text>
    </comment>
    <comment authorId="0" ref="J28">
      <text>
        <t xml:space="preserve">220 miles — above new 200-mile Lyft threshold. No commercial flights serve Merced (MCE has no scheduled service). Keeping as Lyft pending assessment of alternate service options (charter, private shuttle, etc.).</t>
      </text>
    </comment>
    <comment authorId="0" ref="J27">
      <text>
        <t xml:space="preserve">Switched from Lyft override (DEC-009) to flight. SFO→SBP ~$135 Aug. Airport Lyft: Napa→SFO 55mi XL=$91, SBP→campus $25 min. Companion: $270 round-trip SFO↔SBP.</t>
      </text>
    </comment>
  </commentList>
</comments>
</file>

<file path=xl/sharedStrings.xml><?xml version="1.0" encoding="utf-8"?>
<sst xmlns="http://schemas.openxmlformats.org/spreadsheetml/2006/main" count="616" uniqueCount="280">
  <si>
    <t>Campus Ready Foundation</t>
  </si>
  <si>
    <t>2026 Cohort — Program Cost Analysis</t>
  </si>
  <si>
    <t>Prepared for Board Review  |  May 2026  |  41 eligible students</t>
  </si>
  <si>
    <t>41</t>
  </si>
  <si>
    <t>Eligible Students</t>
  </si>
  <si>
    <t>Total Cost to Serve</t>
  </si>
  <si>
    <t>Total Recommended Budget</t>
  </si>
  <si>
    <t>Travel Budget (rec'd)</t>
  </si>
  <si>
    <t>2026 grant cycle</t>
  </si>
  <si>
    <t>all program components</t>
  </si>
  <si>
    <t>incl. contingency &amp; CollegeBoxes</t>
  </si>
  <si>
    <t>travel + 15% contingency</t>
  </si>
  <si>
    <t>Program Cost Summary</t>
  </si>
  <si>
    <t>Cost Category</t>
  </si>
  <si>
    <t>Total Cost</t>
  </si>
  <si>
    <t>Partner Credits</t>
  </si>
  <si>
    <t>CRF Cash Outlay</t>
  </si>
  <si>
    <t>Travel (inc. airport Lyft, companion ground)</t>
  </si>
  <si>
    <t>Products ($750/student)</t>
  </si>
  <si>
    <t>DoorDash meals ($100/student)</t>
  </si>
  <si>
    <t>Gift card ($100/student)</t>
  </si>
  <si>
    <t>CollegeBoxes shipping (PENDING APPROVAL)</t>
  </si>
  <si>
    <t>SUBTOTAL</t>
  </si>
  <si>
    <t>15% Contingency on Travel Cash Outlay</t>
  </si>
  <si>
    <t>TOTAL RECOMMENDED PROGRAM BUDGET</t>
  </si>
  <si>
    <t>⚠  CollegeBoxes shipping ($4,175 total) is PENDING BOARD APPROVAL — included above for planning only.  Also contingent on school advance-shipping policy: CRF pays CollegeBoxes ONLY for schools that don't allow direct Amazon shipping. BU confirmed (no advance shipping). All other schools TBD — research required.</t>
  </si>
  <si>
    <t>Campus Ready Foundation — 2026 Cohort Travel Detail</t>
  </si>
  <si>
    <t>Blue = editable.  Flight/short-haul: H=fare, I=airport Lyft (home→dep + arr→campus).  Road trip: H=gas card (fuel+15% contingency), J=companion return flight.  Lyft-direct: H=Lyft XL to campus.  Lyft credit applies to student's Lyft component only (col I for flight, col H for Lyft-direct).  Hotel: companion travelers only — solo students go direct to dorm.  Lyft threshold: ≤200 miles. 200–250 miles: flight preferred.</t>
  </si>
  <si>
    <t>&lt;- Edit these cells</t>
  </si>
  <si>
    <t>Student Name</t>
  </si>
  <si>
    <t>Home</t>
  </si>
  <si>
    <t>College</t>
  </si>
  <si>
    <t>College City/State</t>
  </si>
  <si>
    <t>Miles</t>
  </si>
  <si>
    <t>Driving?
(Y/N)</t>
  </si>
  <si>
    <t>Departure
Airport</t>
  </si>
  <si>
    <t>Destination
Airport</t>
  </si>
  <si>
    <t>Transport Mode</t>
  </si>
  <si>
    <t>Primary
Transport</t>
  </si>
  <si>
    <t>Airport
Lyft</t>
  </si>
  <si>
    <t>Companion
Transport</t>
  </si>
  <si>
    <t>Companion
Ground</t>
  </si>
  <si>
    <t>Hotel</t>
  </si>
  <si>
    <t>Total Travel
Cost</t>
  </si>
  <si>
    <t>Lyft
Credit</t>
  </si>
  <si>
    <t>CRF Cash
Outlay</t>
  </si>
  <si>
    <t>Ships to
Dorm?</t>
  </si>
  <si>
    <t>Alice Lilliane Baxter</t>
  </si>
  <si>
    <t>Saint Helena, CA</t>
  </si>
  <si>
    <t>UC Santa Cruz</t>
  </si>
  <si>
    <t>Santa Cruz, CA</t>
  </si>
  <si>
    <t>N/A</t>
  </si>
  <si>
    <t>Lyft</t>
  </si>
  <si>
    <t>TBD</t>
  </si>
  <si>
    <t>Amara S. Boerner</t>
  </si>
  <si>
    <t>Santa Rosa, CA</t>
  </si>
  <si>
    <t>CSU San Marcos</t>
  </si>
  <si>
    <t>San Marcos, CA</t>
  </si>
  <si>
    <t>SFO</t>
  </si>
  <si>
    <t>SAN</t>
  </si>
  <si>
    <t>Flight</t>
  </si>
  <si>
    <t>Anastasia Guerrier</t>
  </si>
  <si>
    <t>Miami, FL</t>
  </si>
  <si>
    <t>College of Saint Benedict</t>
  </si>
  <si>
    <t>Saint Joseph, MN</t>
  </si>
  <si>
    <t>Y</t>
  </si>
  <si>
    <t>Road trip (self-drive)</t>
  </si>
  <si>
    <t>Andrea Elia Suarez</t>
  </si>
  <si>
    <t>Napa, CA</t>
  </si>
  <si>
    <t>UC Merced</t>
  </si>
  <si>
    <t>Merced, CA</t>
  </si>
  <si>
    <t>Angelina Montero</t>
  </si>
  <si>
    <t>Rohnert Park, CA</t>
  </si>
  <si>
    <t>UC Davis</t>
  </si>
  <si>
    <t>Davis, CA</t>
  </si>
  <si>
    <t>Antonio Rivera</t>
  </si>
  <si>
    <t>Arianna Deibert</t>
  </si>
  <si>
    <t>San Diego State University</t>
  </si>
  <si>
    <t>San Diego, CA</t>
  </si>
  <si>
    <t>Cristian Gustavo Fonseca Nunez</t>
  </si>
  <si>
    <t>Daniel Orozco Reyna</t>
  </si>
  <si>
    <t>CSU Monterey Bay</t>
  </si>
  <si>
    <t>Marina, CA</t>
  </si>
  <si>
    <t>Daniel Sanchez</t>
  </si>
  <si>
    <t>Vallejo, CA</t>
  </si>
  <si>
    <t>CSU Chico</t>
  </si>
  <si>
    <t>Chico, CA</t>
  </si>
  <si>
    <t>Daysee Jossabeth Queme Mazariegos</t>
  </si>
  <si>
    <t>American Canyon, CA</t>
  </si>
  <si>
    <t>Napa Valley College</t>
  </si>
  <si>
    <t>Diana Sofia Romero Sam</t>
  </si>
  <si>
    <t>Angwin, CA</t>
  </si>
  <si>
    <t>Diego Perez Herrera</t>
  </si>
  <si>
    <t>Calistoga, CA</t>
  </si>
  <si>
    <t>San Jose State Univ</t>
  </si>
  <si>
    <t>San Jose, CA</t>
  </si>
  <si>
    <t>Elizabeth Carmichael</t>
  </si>
  <si>
    <t>Denison University</t>
  </si>
  <si>
    <t>Granville, OH</t>
  </si>
  <si>
    <t>CMH</t>
  </si>
  <si>
    <t>Cross-country flight</t>
  </si>
  <si>
    <t>Fernanda Guadalupe Contreras Alcaraz</t>
  </si>
  <si>
    <t>Gabrielle Pina</t>
  </si>
  <si>
    <t>Brockton, MA</t>
  </si>
  <si>
    <t>Whittier College</t>
  </si>
  <si>
    <t>Whittier, CA</t>
  </si>
  <si>
    <t>BOS</t>
  </si>
  <si>
    <t>LAX</t>
  </si>
  <si>
    <t>Henry Ray</t>
  </si>
  <si>
    <t>St. Helena, CA</t>
  </si>
  <si>
    <t>Oregon State Univ - Cascades</t>
  </si>
  <si>
    <t>Bend, OR</t>
  </si>
  <si>
    <t>RDM</t>
  </si>
  <si>
    <t>Short-haul flight</t>
  </si>
  <si>
    <t>Isabella Jones</t>
  </si>
  <si>
    <t>Houston, TX</t>
  </si>
  <si>
    <t>UT San Antonio</t>
  </si>
  <si>
    <t>San Antonio, TX</t>
  </si>
  <si>
    <t>IAH</t>
  </si>
  <si>
    <t>SAT</t>
  </si>
  <si>
    <t>Jimena</t>
  </si>
  <si>
    <t>University of Chicago</t>
  </si>
  <si>
    <t>Chicago, IL</t>
  </si>
  <si>
    <t>ORD</t>
  </si>
  <si>
    <t>Jocelyn Rico</t>
  </si>
  <si>
    <t>Journey June Penterman</t>
  </si>
  <si>
    <t>Cal Poly SLO</t>
  </si>
  <si>
    <t>San Luis Obispo, CA</t>
  </si>
  <si>
    <t>SBP</t>
  </si>
  <si>
    <t>Licendi Clavel Lopez</t>
  </si>
  <si>
    <t>Clearlake, CA</t>
  </si>
  <si>
    <t>Lilian Barrientos Aceituno</t>
  </si>
  <si>
    <t>The University of Chicago</t>
  </si>
  <si>
    <t>Lizbeth Perez Solano</t>
  </si>
  <si>
    <t>&lt;1</t>
  </si>
  <si>
    <t>On campus</t>
  </si>
  <si>
    <t>Luna Esmeralda Juarez Alvarez</t>
  </si>
  <si>
    <t>SF State University</t>
  </si>
  <si>
    <t>San Francisco, CA</t>
  </si>
  <si>
    <t>Marely Vazquez Garcia</t>
  </si>
  <si>
    <t>Petaluma, CA</t>
  </si>
  <si>
    <t>Seaside, CA</t>
  </si>
  <si>
    <t>Maria Mosconi</t>
  </si>
  <si>
    <t>UC Berkeley</t>
  </si>
  <si>
    <t>Berkeley, CA</t>
  </si>
  <si>
    <t>Marisol Navarro</t>
  </si>
  <si>
    <t>Melanie Avila</t>
  </si>
  <si>
    <t>Sonoma, CA</t>
  </si>
  <si>
    <t>Michelle Villafana</t>
  </si>
  <si>
    <t>UC San Diego</t>
  </si>
  <si>
    <t>Nicholas Avery Joy</t>
  </si>
  <si>
    <t>Boston University</t>
  </si>
  <si>
    <t>Boston, MA</t>
  </si>
  <si>
    <t>No — BU</t>
  </si>
  <si>
    <t>Olivia Parriott</t>
  </si>
  <si>
    <t>Osvaldo Jr. Ramirez Hernandez</t>
  </si>
  <si>
    <t>Pope Valley, CA</t>
  </si>
  <si>
    <t>Reese Oo</t>
  </si>
  <si>
    <t>UCLA</t>
  </si>
  <si>
    <t>Westwood, CA</t>
  </si>
  <si>
    <t>OAK</t>
  </si>
  <si>
    <t>Sara Ann Roberts</t>
  </si>
  <si>
    <t>Sofia Alvarez</t>
  </si>
  <si>
    <t>Univ of San Francisco</t>
  </si>
  <si>
    <t>Tania Navarrete Rios</t>
  </si>
  <si>
    <t>Valeria</t>
  </si>
  <si>
    <t>Wlises Ramirez Santos</t>
  </si>
  <si>
    <t>CSU Sacramento</t>
  </si>
  <si>
    <t>Sacramento, CA</t>
  </si>
  <si>
    <t>Xadani Irais Ramirez Herrera</t>
  </si>
  <si>
    <t>Yadira Lizbeth Pelayo Avina</t>
  </si>
  <si>
    <t>TOTAL (41 eligible students)</t>
  </si>
  <si>
    <t>15% Contingency (on Cash Outlay)</t>
  </si>
  <si>
    <t>TOTAL RECOMMENDED TRAVEL BUDGET (with contingency)</t>
  </si>
  <si>
    <t>NOTES: Blue cells = editable — update as bookings confirmed.  |  Lyft threshold: ≤200 miles door-to-door; 200–250 miles fly (exception: Licendi Lopez flagged — no Merced service).  |  Hotel: companion travelers only — no hotel for solo students.  |  Airport Lyft (col I): home→departure + arrival→campus. Sedan solo; XL with companion.  |  Lyft credit ($150 max) applied to student's Lyft component only.  |  Companion ground (col K): $50 cash for flight students with companion (return airport transport).  |  Ships to Dorm (col S): TBD = research pending. No = CollegeBoxes eligible. CRF pays CollegeBoxes ONLY for schools that don't allow advance shipping.  |  BU confirmed no advance shipping.  |  See Appendix for full assumptions.</t>
  </si>
  <si>
    <t>Campus Ready Foundation — 2026 Program Cost Pro Forma</t>
  </si>
  <si>
    <t>40 eligible students.  |  Amber column = CollegeBoxes — PENDING BOARD APPROVAL.  |  CollegeBoxes policy (new): CRF pays only for schools that do not allow advance shipping. BU confirmed ineligible for advance shipping. All others TBD — research pending.  |  Col M = CRF cash outlay excluding CollegeBoxes.  |  Partner credits reduce cash outlay but not true cost to serve.</t>
  </si>
  <si>
    <t>TRUE COST TO SERVE</t>
  </si>
  <si>
    <t>PENDING</t>
  </si>
  <si>
    <t>PARTNER CREDITS</t>
  </si>
  <si>
    <t>Travel
Cost</t>
  </si>
  <si>
    <t>Products
$750</t>
  </si>
  <si>
    <t>DoorDash
$100</t>
  </si>
  <si>
    <t>Gift Card
$100</t>
  </si>
  <si>
    <t>Total Cost
to Serve</t>
  </si>
  <si>
    <t>CollegeBoxes
(PENDING)</t>
  </si>
  <si>
    <t>Total incl.
CollegeBoxes</t>
  </si>
  <si>
    <t>DoorDash
Credit</t>
  </si>
  <si>
    <t>TOTAL (41 students)</t>
  </si>
  <si>
    <t>NOTE: CRF Cash Outlay (col M) excludes CollegeBoxes.  Add col I + col M for total cash outlay including CollegeBoxes.  |  DoorDash credit ($100) applies to all students.  |  CollegeBoxes eligibility contingent on school advance-shipping policy (col N).  |  See Travel Detail for per-student transport breakdown. See Appendix for all assumptions.</t>
  </si>
  <si>
    <t>Campus Ready Foundation — Cost Model Assumptions &amp; Methodology</t>
  </si>
  <si>
    <t>Documents every assumption, rate, and calculation underlying the travel and program cost models. Last updated May 2026.</t>
  </si>
  <si>
    <t>1. Student Eligibility</t>
  </si>
  <si>
    <t>Eligible cohort</t>
  </si>
  <si>
    <t>41 students. Ben Brakesman excluded — not confirmed living in on-campus housing (program eligibility requirement). Yadira Lizbeth Pelayo Avina re-included — on-campus housing at UC Davis confirmed via text May 2026.</t>
  </si>
  <si>
    <t>Included pending dorm confirmation at Napa Valley College. $0 travel cost. Will be removed if not living on campus.</t>
  </si>
  <si>
    <t>2. Lyft Rate Assumptions</t>
  </si>
  <si>
    <t>Standard sedan — $1.10/mile</t>
  </si>
  <si>
    <t>Applied to airport legs for flight students: home→departure airport and arrival airport→campus. Students on these legs have minimal luggage (boxes shipped via CollegeBoxes ahead of time). $25 minimum per leg.</t>
  </si>
  <si>
    <t>Lyft XL — $1.65/mile</t>
  </si>
  <si>
    <t>Applied to all Lyft-direct-to-campus students. Student brings all belongings — SUV or minivan required. Also applied to home→airport leg when companion rides with student.</t>
  </si>
  <si>
    <t>$25 minimum per Lyft leg</t>
  </si>
  <si>
    <t>Accounts for base fare, booking fee, airport surcharges, and gratuity. Nicholas Avery Joy's BOS→Boston University leg (7mi) is a real-world example requiring the minimum.</t>
  </si>
  <si>
    <t>Rate source</t>
  </si>
  <si>
    <t>RideWise 2026 Rideshare Pricing Report (March 2026) and Lyft fare estimator. Lyft XL is 1.45–1.68x standard per current data. Rates are estimates — verify with Celia Moreno (Lyft partner) before finalizing.</t>
  </si>
  <si>
    <t>Pre-scheduling</t>
  </si>
  <si>
    <t>All rides will be pre-scheduled via CRF's Lyft partner relationship. Confirmation from Celia Moreno needed before June 1. UPDATED POLICY: Lyft threshold is 200 miles (reduced from 250 miles). Students 200–250 miles are assigned to short-haul flight where viable airport service exists.</t>
  </si>
  <si>
    <t>3. Flight Students — Airport Lyft Legs</t>
  </si>
  <si>
    <t>Calculation method</t>
  </si>
  <si>
    <t>Straight-line haversine distance × 1.35 road factor for each leg. Road factor accounts for NorCal terrain and highway routing.</t>
  </si>
  <si>
    <t>Home → departure airport</t>
  </si>
  <si>
    <t>Standard sedan if student travels solo; Lyft XL if companion accompanies to airport (two passengers). $25 minimum.</t>
  </si>
  <si>
    <t>Arrival airport → campus</t>
  </si>
  <si>
    <t>Standard sedan for all students. Boxes shipped ahead via CollegeBoxes — only carry-on luggage at destination. $25 minimum.</t>
  </si>
  <si>
    <t>Departure airports</t>
  </si>
  <si>
    <t>SFO: most NorCal students (Napa, St. Helena, Angwin, Pope Valley, American Canyon, Santa Rosa, Petaluma, Rohnert Park). OAK: Reese Oo (Rohnert Park). BOS: Gabrielle Pina (Brockton, MA). IAH: Isabella Jones (Houston). N/A: Anastasia Guerrier (driving). SFO: Melanie Avila and Journey Penterman (now flying SFO→SBP — prev. Lyft overrides).</t>
  </si>
  <si>
    <t>4. Flight Pricing (August 2026)</t>
  </si>
  <si>
    <t>Research source</t>
  </si>
  <si>
    <t>Kayak, Southwest, Skyscanner, Momondo, Expedia. Researched May 2026 for August 2026 travel window.</t>
  </si>
  <si>
    <t>Cross-country (1,000+ mi)</t>
  </si>
  <si>
    <t>$200 student one-way. $400 companion round-trip. SFO→ORD from $102 (Frontier August). SFO→CMH ~$175 (Southwest). MIA→MSP from $160 (Southwest August).</t>
  </si>
  <si>
    <t>Domestic flight (500–999 mi)</t>
  </si>
  <si>
    <t>$135 student one-way. Companion round-trip $270. August is lower-demand month for CA intra-state routes.</t>
  </si>
  <si>
    <t>Short-haul flight (200–499 mi)</t>
  </si>
  <si>
    <t>$135 student one-way. Companion round-trip $270. Threshold lowered from 250 to 200 miles for 2026 cycle. Melanie Avila and Journey Penterman (Cal Poly SLO) now fly SFO→SBP instead of Lyft. Isabella Jones (Houston→UTSA) now flies IAH→SAT.</t>
  </si>
  <si>
    <t>Booking urgency</t>
  </si>
  <si>
    <t>Book 4–6 weeks ahead. Momondo data shows August ORD average $336 for later bookings vs $102–133 when booked in advance.</t>
  </si>
  <si>
    <t>5. Hotel Assumptions</t>
  </si>
  <si>
    <t>Rate</t>
  </si>
  <si>
    <t>$200 per night, all-in including taxes and fees.</t>
  </si>
  <si>
    <t>Eligibility</t>
  </si>
  <si>
    <t>UPDATED POLICY (2026): Hotel only for students traveling with a companion/guardian. Solo students proceed directly to the dorm on arrival — no hotel. Cross-country with companion: 2 nights ($400). Short-haul/domestic with companion: 1 night ($200). Road trip with companion (Anastasia Guerrier): 2 nights ($400) — 1 en route, 1 arrival night.</t>
  </si>
  <si>
    <t>6. Companion Coverage</t>
  </si>
  <si>
    <t>Lyft credit scope</t>
  </si>
  <si>
    <t>$150 per student — applies to student's Lyft costs only. Cannot be applied to companion transport by default.</t>
  </si>
  <si>
    <t>Companion ground allowance</t>
  </si>
  <si>
    <t>$50 cash allowance for flight students whose companion travels with them. Covers companion's return Lyft from campus to nearest airport after move-in.</t>
  </si>
  <si>
    <t>Credit reallocation (planned)</t>
  </si>
  <si>
    <t>Eric to request Lyft partner approval to redirect unused student Lyft credits to companion ground transport. Many students have transport costs well under $150, leaving credits available. Expected approval — reduces actual cash outlay below model figures.</t>
  </si>
  <si>
    <t>Companion flights</t>
  </si>
  <si>
    <t>Companion round-trip airfare included for all flight students with companions. Same route and booking window as student. Road trip exception — Anastasia Guerrier: companion (mom) receives one-way return flight MSP→MIA (~$200) after driving student to campus. No round-trip needed.</t>
  </si>
  <si>
    <t>Road trip — Anastasia Guerrier</t>
  </si>
  <si>
    <t>Driving Miami, FL → St. Joseph, MN (1,861 mi). Gas card: $268 (1,861mi ÷ 28mpg × $3.50/gal × 1.15 contingency) — blue/editable in Travel Detail H12. Update when current gas prices confirmed. Companion return: one-way MSP→MIA ~$200. CollegeBoxes: $0 (driving all belongings). Hotel: 2 nights ($400).</t>
  </si>
  <si>
    <t>7. CollegeBoxes Shipping — PENDING BOARD APPROVAL</t>
  </si>
  <si>
    <t>Status</t>
  </si>
  <si>
    <t>NOT APPROVED. Included for planning purposes only, shown in amber. NEW POLICY: CRF covers CollegeBoxes ONLY for schools that do not allow advance Amazon shipping to the dorm. For eligible schools: CRF directs Amazon product orders directly to the dorm — no separate shipping fee. If student at a ship-eligible school prefers home delivery, student bears own forward-shipping cost.</t>
  </si>
  <si>
    <t>Pricing basis</t>
  </si>
  <si>
    <t>CollegeBoxes (powered by U-Haul). Per box: in-state $45–60, regional $60–90, coast-to-coast $75–100, plus $30 handling fee per box (Ship to School). Source: collegeboxes.com/pricing, May 2026.</t>
  </si>
  <si>
    <t>Per-student allocations</t>
  </si>
  <si>
    <t>Cross-country flight (1,000+ mi): $250 — covers 2 boxes coast-to-coast. Domestic/short-haul flight: $150 — covers 1–2 boxes. Lyft-direct: $75 minimum allowance (Lyft XL carries most items, but allows for shipping fragile/bulky items).</t>
  </si>
  <si>
    <t>Total pending</t>
  </si>
  <si>
    <t>$4,175 across 40 students (reduced from $4,425 — Anastasia excluded, driving). BU (Boston University) confirmed no advance shipping: Nicholas Avery Joy eligible, $250. All other allocations contingent on school policy research (TBD). Amounts held at current levels pending school research.</t>
  </si>
  <si>
    <t>Rationale</t>
  </si>
  <si>
    <t>Flight students cannot bring all belongings in airline luggage (2 checked bags max). CollegeBoxes ships dorm supplies ahead of move-in day — student arrives, boxes are waiting. Lyft-direct students have more flexibility but may have fragile or oversized items.</t>
  </si>
  <si>
    <t>8. Program Cost Assumptions</t>
  </si>
  <si>
    <t>Products</t>
  </si>
  <si>
    <t>$750 per student average. Covers school-specific move-in essentials selected from college checklist. Exact amount varies by school. Budget under refinement — may be adjusted before finalization.</t>
  </si>
  <si>
    <t>DoorDash Community Credits</t>
  </si>
  <si>
    <t>$100 per student digital credit code. Redeemable across full DoorDash platform. No expiration. Covers early-arrival meals before dining halls open. Source: DoorDash partner agreement (Victor Ruiz-Cornejo).</t>
  </si>
  <si>
    <t>Incidentals gift card</t>
  </si>
  <si>
    <t>$100 per student. Covers small expenses in first days on campus not captured by other program components.</t>
  </si>
  <si>
    <t>15% contingency</t>
  </si>
  <si>
    <t>Applied to travel cash outlay only. Accounts for: companion plan changes closer to move-in, flight price increases at booking, Lyft surge or vehicle availability issues, and special routing needs (e.g., Isabella Jones, Houston→San Antonio).</t>
  </si>
  <si>
    <t>9. Ineligible Students — Excluded from All Calculations</t>
  </si>
  <si>
    <t>Ben Brakesman</t>
  </si>
  <si>
    <t>Attending College of San Mateo. Not confirmed living in on-campus housing. Excluded from all cost calculations and cohort headcount.</t>
  </si>
  <si>
    <t>Attending UC Davis. Not confirmed living in on-campus housing. Excluded from all cost calculations and cohort headcount.</t>
  </si>
  <si>
    <t>10. Data Sources</t>
  </si>
  <si>
    <t>Flight pricing</t>
  </si>
  <si>
    <t>Kayak, Southwest, Skyscanner, Momondo, Expedia — May 2026, August 2026 window.</t>
  </si>
  <si>
    <t>Lyft pricing</t>
  </si>
  <si>
    <t>RideWise 2026 Rideshare Pricing Report (March 2026), Lyft fare estimator, CheckThat.ai Lyft Pricing 2026.</t>
  </si>
  <si>
    <t>Hotel rates</t>
  </si>
  <si>
    <t>Market survey of university-area hotels, August 2026.</t>
  </si>
  <si>
    <t>CollegeBoxes / Ships to Dorm</t>
  </si>
  <si>
    <t>collegeboxes.com/pricing — May 2026. BU confirmed: does not allow advance shipping — CollegeBoxes applies. All other schools in cohort: shipping policy TBD — research required before finalizing. Recommend annual policy check each cycle.</t>
  </si>
  <si>
    <t>Student distances</t>
  </si>
  <si>
    <t>Apps Script Maps API from master sheet. 18 of 42 original distances were incorrect (address-string geocoding bug). All corrected in updated master sheet. 2027 fix: switch to ZIP-code geocoding.</t>
  </si>
  <si>
    <t>Document date</t>
  </si>
  <si>
    <t>May 2026 (policies updated). All transport costs are estimates — update blue cells in Travel Detail as bookings confirmed. Recalculate before board presentation.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</si>
</sst>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\$#,##0;\-;\-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4B8A6"/>
      <name val="Arial"/>
    </font>
    <font>
      <b/>
      <sz val="14.0"/>
      <color rgb="FF1E293B"/>
      <name val="Arial"/>
    </font>
    <font>
      <i/>
      <sz val="10.0"/>
      <color rgb="FF475569"/>
      <name val="Arial"/>
    </font>
    <font>
      <b/>
      <sz val="18.0"/>
      <color rgb="FFFFFFFF"/>
      <name val="Arial"/>
    </font>
    <font>
      <b/>
      <sz val="10.0"/>
      <color rgb="FF1E293B"/>
      <name val="Arial"/>
    </font>
    <font>
      <i/>
      <sz val="9.0"/>
      <color rgb="FF475569"/>
      <name val="Arial"/>
    </font>
    <font>
      <b/>
      <sz val="12.0"/>
      <color rgb="FF0D9488"/>
      <name val="Arial"/>
    </font>
    <font/>
    <font>
      <b/>
      <sz val="10.0"/>
      <color rgb="FFFFFFFF"/>
      <name val="Arial"/>
    </font>
    <font>
      <sz val="10.0"/>
      <color rgb="FF1E293B"/>
      <name val="Arial"/>
    </font>
    <font>
      <i/>
      <sz val="10.0"/>
      <color rgb="FF92400E"/>
      <name val="Arial"/>
    </font>
    <font>
      <sz val="10.0"/>
      <color rgb="FF92400E"/>
      <name val="Arial"/>
    </font>
    <font>
      <i/>
      <sz val="9.0"/>
      <color rgb="FF92400E"/>
      <name val="Arial"/>
    </font>
    <font>
      <b/>
      <sz val="15.0"/>
      <color rgb="FF14B8A6"/>
      <name val="Arial"/>
    </font>
    <font>
      <sz val="9.0"/>
      <color rgb="FF1E293B"/>
      <name val="Arial"/>
    </font>
    <font>
      <b/>
      <i/>
      <sz val="8.0"/>
      <color rgb="FF1D4ED8"/>
      <name val="Arial"/>
    </font>
    <font>
      <b/>
      <sz val="9.0"/>
      <color rgb="FFFFFFFF"/>
      <name val="Arial"/>
    </font>
    <font>
      <b/>
      <sz val="9.0"/>
      <color rgb="FF1E293B"/>
      <name val="Arial"/>
    </font>
    <font>
      <sz val="9.0"/>
      <color rgb="FF1D4ED8"/>
      <name val="Arial"/>
    </font>
    <font>
      <sz val="9.0"/>
      <color rgb="FF475569"/>
      <name val="Arial"/>
    </font>
    <font>
      <b/>
      <sz val="9.0"/>
      <color rgb="FF0D9488"/>
      <name val="Arial"/>
    </font>
    <font>
      <i/>
      <sz val="8.0"/>
      <color rgb="FF475569"/>
      <name val="Arial"/>
    </font>
    <font>
      <b/>
      <sz val="9.0"/>
      <color rgb="FF78350F"/>
      <name val="Arial"/>
    </font>
    <font>
      <sz val="9.0"/>
      <color rgb="FF0D9488"/>
      <name val="Arial"/>
    </font>
    <font>
      <b/>
      <sz val="10.0"/>
      <color rgb="FF78350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4B8A6"/>
        <bgColor rgb="FF14B8A6"/>
      </patternFill>
    </fill>
    <fill>
      <patternFill patternType="solid">
        <fgColor rgb="FF0D9488"/>
        <bgColor rgb="FF0D9488"/>
      </patternFill>
    </fill>
    <fill>
      <patternFill patternType="solid">
        <fgColor rgb="FFF0FDFA"/>
        <bgColor rgb="FFF0FDF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CCFBF1"/>
        <bgColor rgb="FFCCFBF1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DE68A"/>
        <bgColor rgb="FFFDE68A"/>
      </patternFill>
    </fill>
  </fills>
  <borders count="23">
    <border/>
    <border>
      <bottom style="medium">
        <color rgb="FF14B8A6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97706"/>
      </left>
      <top style="thin">
        <color rgb="FFD97706"/>
      </top>
      <bottom style="thin">
        <color rgb="FFD97706"/>
      </bottom>
    </border>
    <border>
      <top style="thin">
        <color rgb="FFD97706"/>
      </top>
      <bottom style="thin">
        <color rgb="FFD97706"/>
      </bottom>
    </border>
    <border>
      <right/>
      <top style="thin">
        <color rgb="FFD97706"/>
      </top>
      <bottom style="thin">
        <color rgb="FFD97706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2E8F0"/>
      </left>
      <right/>
      <top style="thin">
        <color rgb="FFE2E8F0"/>
      </top>
      <bottom style="thin">
        <color rgb="FFE2E8F0"/>
      </bottom>
    </border>
    <border>
      <left/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E2E8F0"/>
      </top>
      <bottom style="thin">
        <color rgb="FFE2E8F0"/>
      </bottom>
    </border>
    <border>
      <left/>
      <top style="thin">
        <color rgb="FFE2E8F0"/>
      </top>
      <bottom/>
    </border>
    <border>
      <top style="thin">
        <color rgb="FFE2E8F0"/>
      </top>
      <bottom/>
    </border>
    <border>
      <right/>
      <top style="thin">
        <color rgb="FFE2E8F0"/>
      </top>
      <bottom/>
    </border>
    <border>
      <top style="thin">
        <color rgb="FFE2E8F0"/>
      </top>
    </border>
    <border>
      <left/>
      <right/>
      <top style="thin">
        <color rgb="FFE2E8F0"/>
      </top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horizontal="center" shrinkToFit="0" vertical="center" wrapText="0"/>
    </xf>
    <xf borderId="2" fillId="2" fontId="5" numFmtId="164" xfId="0" applyAlignment="1" applyBorder="1" applyFont="1" applyNumberForma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bottom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0"/>
    </xf>
    <xf borderId="2" fillId="4" fontId="1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shrinkToFit="0" vertical="center" wrapText="0"/>
    </xf>
    <xf borderId="1" fillId="0" fontId="9" numFmtId="0" xfId="0" applyBorder="1" applyFont="1"/>
    <xf borderId="2" fillId="2" fontId="10" numFmtId="0" xfId="0" applyAlignment="1" applyBorder="1" applyFont="1">
      <alignment horizontal="center" shrinkToFit="0" vertical="center" wrapText="0"/>
    </xf>
    <xf borderId="2" fillId="5" fontId="11" numFmtId="0" xfId="0" applyAlignment="1" applyBorder="1" applyFill="1" applyFont="1">
      <alignment horizontal="left" shrinkToFit="0" vertical="center" wrapText="0"/>
    </xf>
    <xf borderId="2" fillId="5" fontId="11" numFmtId="164" xfId="0" applyAlignment="1" applyBorder="1" applyFont="1" applyNumberFormat="1">
      <alignment horizontal="right" shrinkToFit="0" vertical="center" wrapText="0"/>
    </xf>
    <xf borderId="2" fillId="6" fontId="11" numFmtId="0" xfId="0" applyAlignment="1" applyBorder="1" applyFill="1" applyFont="1">
      <alignment horizontal="left" shrinkToFit="0" vertical="center" wrapText="0"/>
    </xf>
    <xf borderId="2" fillId="6" fontId="11" numFmtId="164" xfId="0" applyAlignment="1" applyBorder="1" applyFont="1" applyNumberFormat="1">
      <alignment horizontal="right" shrinkToFit="0" vertical="center" wrapText="0"/>
    </xf>
    <xf borderId="3" fillId="7" fontId="12" numFmtId="0" xfId="0" applyAlignment="1" applyBorder="1" applyFill="1" applyFont="1">
      <alignment horizontal="left" shrinkToFit="0" vertical="center" wrapText="0"/>
    </xf>
    <xf borderId="3" fillId="7" fontId="13" numFmtId="164" xfId="0" applyAlignment="1" applyBorder="1" applyFont="1" applyNumberFormat="1">
      <alignment horizontal="right" shrinkToFit="0" vertical="center" wrapText="0"/>
    </xf>
    <xf borderId="2" fillId="2" fontId="10" numFmtId="0" xfId="0" applyAlignment="1" applyBorder="1" applyFont="1">
      <alignment horizontal="left" shrinkToFit="0" vertical="center" wrapText="0"/>
    </xf>
    <xf borderId="2" fillId="2" fontId="10" numFmtId="164" xfId="0" applyAlignment="1" applyBorder="1" applyFont="1" applyNumberFormat="1">
      <alignment horizontal="right" shrinkToFit="0" vertical="center" wrapText="0"/>
    </xf>
    <xf borderId="4" fillId="6" fontId="4" numFmtId="0" xfId="0" applyAlignment="1" applyBorder="1" applyFont="1">
      <alignment horizontal="left" shrinkToFit="0" vertical="center" wrapText="0"/>
    </xf>
    <xf borderId="5" fillId="0" fontId="9" numFmtId="0" xfId="0" applyBorder="1" applyFont="1"/>
    <xf borderId="6" fillId="0" fontId="9" numFmtId="0" xfId="0" applyBorder="1" applyFont="1"/>
    <xf borderId="2" fillId="6" fontId="4" numFmtId="164" xfId="0" applyAlignment="1" applyBorder="1" applyFont="1" applyNumberFormat="1">
      <alignment horizontal="right" shrinkToFit="0" vertical="center" wrapText="0"/>
    </xf>
    <xf borderId="2" fillId="3" fontId="10" numFmtId="0" xfId="0" applyAlignment="1" applyBorder="1" applyFont="1">
      <alignment horizontal="left" shrinkToFit="0" vertical="center" wrapText="0"/>
    </xf>
    <xf borderId="2" fillId="3" fontId="10" numFmtId="0" xfId="0" applyAlignment="1" applyBorder="1" applyFont="1">
      <alignment horizontal="right" shrinkToFit="0" vertical="center" wrapText="0"/>
    </xf>
    <xf borderId="2" fillId="3" fontId="10" numFmtId="164" xfId="0" applyAlignment="1" applyBorder="1" applyFont="1" applyNumberFormat="1">
      <alignment horizontal="right" shrinkToFit="0" vertical="center" wrapText="0"/>
    </xf>
    <xf borderId="7" fillId="7" fontId="14" numFmtId="0" xfId="0" applyAlignment="1" applyBorder="1" applyFont="1">
      <alignment horizontal="left" shrinkToFit="0" vertical="center" wrapText="1"/>
    </xf>
    <xf borderId="8" fillId="0" fontId="9" numFmtId="0" xfId="0" applyBorder="1" applyFont="1"/>
    <xf borderId="9" fillId="0" fontId="9" numFmtId="0" xfId="0" applyBorder="1" applyFont="1"/>
    <xf borderId="0" fillId="0" fontId="1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1"/>
    </xf>
    <xf borderId="10" fillId="5" fontId="1" numFmtId="0" xfId="0" applyAlignment="1" applyBorder="1" applyFont="1">
      <alignment shrinkToFit="0" vertical="bottom" wrapText="0"/>
    </xf>
    <xf borderId="10" fillId="5" fontId="1" numFmtId="0" xfId="0" applyAlignment="1" applyBorder="1" applyFont="1">
      <alignment horizontal="center" shrinkToFit="0" vertical="bottom" wrapText="0"/>
    </xf>
    <xf borderId="11" fillId="4" fontId="17" numFmtId="0" xfId="0" applyAlignment="1" applyBorder="1" applyFont="1">
      <alignment horizontal="center" shrinkToFit="0" vertical="center" wrapText="0"/>
    </xf>
    <xf borderId="12" fillId="0" fontId="9" numFmtId="0" xfId="0" applyBorder="1" applyFont="1"/>
    <xf borderId="13" fillId="0" fontId="9" numFmtId="0" xfId="0" applyBorder="1" applyFont="1"/>
    <xf borderId="2" fillId="2" fontId="18" numFmtId="0" xfId="0" applyAlignment="1" applyBorder="1" applyFont="1">
      <alignment horizontal="center" shrinkToFit="0" vertical="center" wrapText="1"/>
    </xf>
    <xf borderId="14" fillId="2" fontId="18" numFmtId="0" xfId="0" applyAlignment="1" applyBorder="1" applyFont="1">
      <alignment horizontal="center" shrinkToFit="0" vertical="center" wrapText="1"/>
    </xf>
    <xf borderId="10" fillId="2" fontId="18" numFmtId="0" xfId="0" applyAlignment="1" applyBorder="1" applyFont="1">
      <alignment horizontal="center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2" fillId="3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2" fillId="6" fontId="19" numFmtId="0" xfId="0" applyAlignment="1" applyBorder="1" applyFont="1">
      <alignment horizontal="left" shrinkToFit="0" vertical="center" wrapText="0"/>
    </xf>
    <xf borderId="2" fillId="6" fontId="16" numFmtId="0" xfId="0" applyAlignment="1" applyBorder="1" applyFont="1">
      <alignment horizontal="left" shrinkToFit="0" vertical="center" wrapText="0"/>
    </xf>
    <xf borderId="15" fillId="6" fontId="16" numFmtId="0" xfId="0" applyAlignment="1" applyBorder="1" applyFont="1">
      <alignment horizontal="center" shrinkToFit="0" vertical="center" wrapText="0"/>
    </xf>
    <xf borderId="2" fillId="4" fontId="20" numFmtId="165" xfId="0" applyAlignment="1" applyBorder="1" applyFont="1" applyNumberFormat="1">
      <alignment horizontal="right" shrinkToFit="0" vertical="center" wrapText="0"/>
    </xf>
    <xf borderId="2" fillId="6" fontId="21" numFmtId="165" xfId="0" applyAlignment="1" applyBorder="1" applyFont="1" applyNumberFormat="1">
      <alignment horizontal="right" shrinkToFit="0" vertical="center" wrapText="0"/>
    </xf>
    <xf borderId="2" fillId="4" fontId="22" numFmtId="165" xfId="0" applyAlignment="1" applyBorder="1" applyFont="1" applyNumberFormat="1">
      <alignment horizontal="right" shrinkToFit="0" vertical="center" wrapText="0"/>
    </xf>
    <xf borderId="2" fillId="8" fontId="22" numFmtId="165" xfId="0" applyAlignment="1" applyBorder="1" applyFill="1" applyFont="1" applyNumberFormat="1">
      <alignment horizontal="right" shrinkToFit="0" vertical="center" wrapText="0"/>
    </xf>
    <xf borderId="0" fillId="0" fontId="21" numFmtId="0" xfId="0" applyAlignment="1" applyFont="1">
      <alignment horizontal="center" shrinkToFit="0" vertical="center" wrapText="0"/>
    </xf>
    <xf borderId="16" fillId="6" fontId="21" numFmtId="0" xfId="0" applyAlignment="1" applyBorder="1" applyFont="1">
      <alignment horizontal="center" shrinkToFit="0" vertical="center" wrapText="0"/>
    </xf>
    <xf borderId="15" fillId="6" fontId="22" numFmtId="0" xfId="0" applyAlignment="1" applyBorder="1" applyFont="1">
      <alignment horizontal="center" shrinkToFit="0" vertical="center" wrapText="0"/>
    </xf>
    <xf borderId="15" fillId="5" fontId="16" numFmtId="0" xfId="0" applyAlignment="1" applyBorder="1" applyFont="1">
      <alignment horizontal="center" shrinkToFit="0" vertical="center" wrapText="0"/>
    </xf>
    <xf borderId="15" fillId="0" fontId="20" numFmtId="0" xfId="0" applyAlignment="1" applyBorder="1" applyFont="1">
      <alignment horizontal="center" shrinkToFit="0" vertical="center" wrapText="0"/>
    </xf>
    <xf borderId="2" fillId="5" fontId="19" numFmtId="0" xfId="0" applyAlignment="1" applyBorder="1" applyFont="1">
      <alignment horizontal="left" shrinkToFit="0" vertical="center" wrapText="0"/>
    </xf>
    <xf borderId="2" fillId="5" fontId="16" numFmtId="0" xfId="0" applyAlignment="1" applyBorder="1" applyFont="1">
      <alignment horizontal="left" shrinkToFit="0" vertical="center" wrapText="0"/>
    </xf>
    <xf borderId="2" fillId="5" fontId="21" numFmtId="165" xfId="0" applyAlignment="1" applyBorder="1" applyFont="1" applyNumberFormat="1">
      <alignment horizontal="right" shrinkToFit="0" vertical="center" wrapText="0"/>
    </xf>
    <xf borderId="16" fillId="5" fontId="21" numFmtId="0" xfId="0" applyAlignment="1" applyBorder="1" applyFont="1">
      <alignment horizontal="center" shrinkToFit="0" vertical="center" wrapText="0"/>
    </xf>
    <xf borderId="6" fillId="5" fontId="16" numFmtId="0" xfId="0" applyAlignment="1" applyBorder="1" applyFont="1">
      <alignment horizontal="center" shrinkToFit="0" vertical="center" wrapText="0"/>
    </xf>
    <xf borderId="15" fillId="5" fontId="22" numFmtId="0" xfId="0" applyAlignment="1" applyBorder="1" applyFont="1">
      <alignment horizontal="center" shrinkToFit="0" vertical="center" wrapText="0"/>
    </xf>
    <xf borderId="2" fillId="9" fontId="19" numFmtId="0" xfId="0" applyAlignment="1" applyBorder="1" applyFill="1" applyFont="1">
      <alignment horizontal="left" shrinkToFit="0" vertical="center" wrapText="0"/>
    </xf>
    <xf borderId="2" fillId="9" fontId="16" numFmtId="0" xfId="0" applyAlignment="1" applyBorder="1" applyFont="1">
      <alignment horizontal="left" shrinkToFit="0" vertical="center" wrapText="0"/>
    </xf>
    <xf borderId="15" fillId="9" fontId="16" numFmtId="0" xfId="0" applyAlignment="1" applyBorder="1" applyFont="1">
      <alignment horizontal="center" shrinkToFit="0" vertical="center" wrapText="0"/>
    </xf>
    <xf borderId="2" fillId="9" fontId="20" numFmtId="165" xfId="0" applyAlignment="1" applyBorder="1" applyFont="1" applyNumberFormat="1">
      <alignment horizontal="right" shrinkToFit="0" vertical="center" wrapText="0"/>
    </xf>
    <xf borderId="2" fillId="9" fontId="21" numFmtId="165" xfId="0" applyAlignment="1" applyBorder="1" applyFont="1" applyNumberFormat="1">
      <alignment horizontal="right" shrinkToFit="0" vertical="center" wrapText="0"/>
    </xf>
    <xf borderId="2" fillId="9" fontId="22" numFmtId="165" xfId="0" applyAlignment="1" applyBorder="1" applyFont="1" applyNumberFormat="1">
      <alignment horizontal="right" shrinkToFit="0" vertical="center" wrapText="0"/>
    </xf>
    <xf borderId="0" fillId="9" fontId="21" numFmtId="0" xfId="0" applyAlignment="1" applyFont="1">
      <alignment horizontal="center" shrinkToFit="0" vertical="center" wrapText="0"/>
    </xf>
    <xf borderId="16" fillId="9" fontId="21" numFmtId="0" xfId="0" applyAlignment="1" applyBorder="1" applyFont="1">
      <alignment horizontal="center" shrinkToFit="0" vertical="center" wrapText="0"/>
    </xf>
    <xf borderId="15" fillId="10" fontId="16" numFmtId="0" xfId="0" applyAlignment="1" applyBorder="1" applyFill="1" applyFont="1">
      <alignment horizontal="center" shrinkToFit="0" vertical="center" wrapText="0"/>
    </xf>
    <xf borderId="2" fillId="6" fontId="16" numFmtId="0" xfId="0" applyAlignment="1" applyBorder="1" applyFont="1">
      <alignment horizontal="left" readingOrder="0" shrinkToFit="0" vertical="center" wrapText="0"/>
    </xf>
    <xf borderId="4" fillId="2" fontId="10" numFmtId="0" xfId="0" applyAlignment="1" applyBorder="1" applyFont="1">
      <alignment horizontal="left" shrinkToFit="0" vertical="center" wrapText="0"/>
    </xf>
    <xf borderId="14" fillId="3" fontId="10" numFmtId="164" xfId="0" applyAlignment="1" applyBorder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right" shrinkToFit="0" vertical="center" wrapText="0"/>
    </xf>
    <xf borderId="15" fillId="3" fontId="10" numFmtId="164" xfId="0" applyAlignment="1" applyBorder="1" applyFont="1" applyNumberFormat="1">
      <alignment horizontal="right" shrinkToFit="0" vertical="center" wrapText="0"/>
    </xf>
    <xf borderId="17" fillId="0" fontId="9" numFmtId="0" xfId="0" applyBorder="1" applyFont="1"/>
    <xf borderId="14" fillId="6" fontId="4" numFmtId="164" xfId="0" applyAlignment="1" applyBorder="1" applyFont="1" applyNumberFormat="1">
      <alignment horizontal="right" shrinkToFit="0" vertical="center" wrapText="0"/>
    </xf>
    <xf borderId="0" fillId="0" fontId="4" numFmtId="164" xfId="0" applyAlignment="1" applyFont="1" applyNumberFormat="1">
      <alignment horizontal="right" shrinkToFit="0" vertical="center" wrapText="0"/>
    </xf>
    <xf borderId="15" fillId="6" fontId="4" numFmtId="164" xfId="0" applyAlignment="1" applyBorder="1" applyFont="1" applyNumberFormat="1">
      <alignment horizontal="right" shrinkToFit="0" vertical="center" wrapText="0"/>
    </xf>
    <xf borderId="14" fillId="3" fontId="10" numFmtId="0" xfId="0" applyAlignment="1" applyBorder="1" applyFont="1">
      <alignment horizontal="left" shrinkToFit="0" vertical="center" wrapText="0"/>
    </xf>
    <xf borderId="5" fillId="0" fontId="1" numFmtId="0" xfId="0" applyAlignment="1" applyBorder="1" applyFont="1">
      <alignment shrinkToFit="0" vertical="bottom" wrapText="0"/>
    </xf>
    <xf borderId="18" fillId="5" fontId="23" numFmtId="0" xfId="0" applyAlignment="1" applyBorder="1" applyFont="1">
      <alignment horizontal="left" shrinkToFit="0" vertical="center" wrapText="1"/>
    </xf>
    <xf borderId="19" fillId="0" fontId="9" numFmtId="0" xfId="0" applyBorder="1" applyFont="1"/>
    <xf borderId="20" fillId="0" fontId="9" numFmtId="0" xfId="0" applyBorder="1" applyFont="1"/>
    <xf borderId="21" fillId="0" fontId="1" numFmtId="0" xfId="0" applyAlignment="1" applyBorder="1" applyFont="1">
      <alignment shrinkToFit="0" vertical="bottom" wrapText="0"/>
    </xf>
    <xf borderId="2" fillId="5" fontId="1" numFmtId="0" xfId="0" applyAlignment="1" applyBorder="1" applyFont="1">
      <alignment shrinkToFit="0" vertical="bottom" wrapText="0"/>
    </xf>
    <xf borderId="4" fillId="3" fontId="18" numFmtId="0" xfId="0" applyAlignment="1" applyBorder="1" applyFont="1">
      <alignment horizontal="center" shrinkToFit="0" vertical="center" wrapText="0"/>
    </xf>
    <xf borderId="3" fillId="11" fontId="24" numFmtId="0" xfId="0" applyAlignment="1" applyBorder="1" applyFill="1" applyFont="1">
      <alignment horizontal="center" shrinkToFit="0" vertical="center" wrapText="0"/>
    </xf>
    <xf borderId="4" fillId="2" fontId="18" numFmtId="0" xfId="0" applyAlignment="1" applyBorder="1" applyFont="1">
      <alignment horizontal="center" shrinkToFit="0" vertical="center" wrapText="0"/>
    </xf>
    <xf borderId="3" fillId="11" fontId="24" numFmtId="0" xfId="0" applyAlignment="1" applyBorder="1" applyFont="1">
      <alignment horizontal="center" shrinkToFit="0" vertical="center" wrapText="1"/>
    </xf>
    <xf borderId="2" fillId="5" fontId="22" numFmtId="0" xfId="0" applyAlignment="1" applyBorder="1" applyFont="1">
      <alignment horizontal="left" shrinkToFit="0" vertical="center" wrapText="0"/>
    </xf>
    <xf borderId="2" fillId="5" fontId="25" numFmtId="165" xfId="0" applyAlignment="1" applyBorder="1" applyFont="1" applyNumberFormat="1">
      <alignment horizontal="right" shrinkToFit="0" vertical="center" wrapText="0"/>
    </xf>
    <xf borderId="2" fillId="5" fontId="16" numFmtId="164" xfId="0" applyAlignment="1" applyBorder="1" applyFont="1" applyNumberFormat="1">
      <alignment horizontal="right" shrinkToFit="0" vertical="center" wrapText="0"/>
    </xf>
    <xf borderId="2" fillId="4" fontId="22" numFmtId="164" xfId="0" applyAlignment="1" applyBorder="1" applyFont="1" applyNumberFormat="1">
      <alignment horizontal="right" shrinkToFit="0" vertical="center" wrapText="0"/>
    </xf>
    <xf borderId="3" fillId="7" fontId="24" numFmtId="165" xfId="0" applyAlignment="1" applyBorder="1" applyFont="1" applyNumberFormat="1">
      <alignment horizontal="right" shrinkToFit="0" vertical="center" wrapText="0"/>
    </xf>
    <xf borderId="2" fillId="5" fontId="19" numFmtId="164" xfId="0" applyAlignment="1" applyBorder="1" applyFont="1" applyNumberFormat="1">
      <alignment horizontal="right" shrinkToFit="0" vertical="center" wrapText="0"/>
    </xf>
    <xf borderId="2" fillId="6" fontId="22" numFmtId="0" xfId="0" applyAlignment="1" applyBorder="1" applyFont="1">
      <alignment horizontal="left" shrinkToFit="0" vertical="center" wrapText="0"/>
    </xf>
    <xf borderId="2" fillId="6" fontId="25" numFmtId="165" xfId="0" applyAlignment="1" applyBorder="1" applyFont="1" applyNumberFormat="1">
      <alignment horizontal="right" shrinkToFit="0" vertical="center" wrapText="0"/>
    </xf>
    <xf borderId="2" fillId="6" fontId="16" numFmtId="164" xfId="0" applyAlignment="1" applyBorder="1" applyFont="1" applyNumberFormat="1">
      <alignment horizontal="right" shrinkToFit="0" vertical="center" wrapText="0"/>
    </xf>
    <xf borderId="2" fillId="6" fontId="19" numFmtId="164" xfId="0" applyAlignment="1" applyBorder="1" applyFont="1" applyNumberFormat="1">
      <alignment horizontal="right" shrinkToFit="0" vertical="center" wrapText="0"/>
    </xf>
    <xf borderId="3" fillId="6" fontId="21" numFmtId="165" xfId="0" applyAlignment="1" applyBorder="1" applyFont="1" applyNumberFormat="1">
      <alignment horizontal="right" shrinkToFit="0" vertical="center" wrapText="0"/>
    </xf>
    <xf borderId="2" fillId="2" fontId="1" numFmtId="0" xfId="0" applyAlignment="1" applyBorder="1" applyFont="1">
      <alignment shrinkToFit="0" vertical="bottom" wrapText="0"/>
    </xf>
    <xf borderId="3" fillId="11" fontId="26" numFmtId="164" xfId="0" applyAlignment="1" applyBorder="1" applyFont="1" applyNumberFormat="1">
      <alignment horizontal="right" shrinkToFit="0" vertical="center" wrapText="0"/>
    </xf>
    <xf borderId="22" fillId="5" fontId="23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left" shrinkToFit="0" vertical="center" wrapText="1"/>
    </xf>
    <xf borderId="2" fillId="6" fontId="6" numFmtId="0" xfId="0" applyAlignment="1" applyBorder="1" applyFont="1">
      <alignment horizontal="left" shrinkToFit="0" vertical="center" wrapText="1"/>
    </xf>
    <xf borderId="2" fillId="6" fontId="11" numFmtId="0" xfId="0" applyAlignment="1" applyBorder="1" applyFont="1">
      <alignment horizontal="left" shrinkToFit="0" vertical="center" wrapText="1"/>
    </xf>
    <xf borderId="2" fillId="7" fontId="6" numFmtId="0" xfId="0" applyAlignment="1" applyBorder="1" applyFont="1">
      <alignment horizontal="left" shrinkToFit="0" vertical="center" wrapText="1"/>
    </xf>
    <xf borderId="2" fillId="7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29"/>
    <col customWidth="1" min="3" max="3" width="20.0"/>
    <col customWidth="1" min="4" max="4" width="23.14"/>
    <col customWidth="1" min="5" max="5" width="20.0"/>
    <col customWidth="1" min="6" max="6" width="2.0"/>
    <col customWidth="1" min="7" max="25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4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0" customHeight="1">
      <c r="A5" s="1"/>
      <c r="B5" s="5"/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6" t="s">
        <v>3</v>
      </c>
      <c r="C7" s="7">
        <f>C19</f>
        <v>58970</v>
      </c>
      <c r="D7" s="8" t="str">
        <f>"$"&amp;TEXT(E21,"#,##0")</f>
        <v>$47,426</v>
      </c>
      <c r="E7" s="7">
        <f>'Travel Detail'!R50</f>
        <v>12576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customHeight="1">
      <c r="A8" s="9"/>
      <c r="B8" s="10" t="s">
        <v>4</v>
      </c>
      <c r="C8" s="10" t="s">
        <v>5</v>
      </c>
      <c r="D8" s="10" t="s">
        <v>6</v>
      </c>
      <c r="E8" s="10" t="s">
        <v>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>
      <c r="A9" s="1"/>
      <c r="B9" s="11" t="s">
        <v>8</v>
      </c>
      <c r="C9" s="11" t="s">
        <v>9</v>
      </c>
      <c r="D9" s="11" t="s">
        <v>10</v>
      </c>
      <c r="E9" s="11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2"/>
      <c r="C10" s="12"/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3" t="s">
        <v>12</v>
      </c>
      <c r="C12" s="14"/>
      <c r="D12" s="14"/>
      <c r="E12" s="1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5" t="s">
        <v>13</v>
      </c>
      <c r="C13" s="15" t="s">
        <v>14</v>
      </c>
      <c r="D13" s="15" t="s">
        <v>15</v>
      </c>
      <c r="E13" s="15" t="s">
        <v>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6" t="s">
        <v>17</v>
      </c>
      <c r="C14" s="17">
        <f>'Program Cost Pro Forma'!D48</f>
        <v>15545</v>
      </c>
      <c r="D14" s="17">
        <f>'Program Cost Pro Forma'!K48</f>
        <v>4609</v>
      </c>
      <c r="E14" s="17">
        <f>'Travel Detail'!R48</f>
        <v>10936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8" t="s">
        <v>18</v>
      </c>
      <c r="C15" s="19">
        <f>'Program Cost Pro Forma'!E48</f>
        <v>30750</v>
      </c>
      <c r="D15" s="19">
        <v>0.0</v>
      </c>
      <c r="E15" s="19">
        <f>'Program Cost Pro Forma'!E48</f>
        <v>30750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6" t="s">
        <v>19</v>
      </c>
      <c r="C16" s="17">
        <f>'Program Cost Pro Forma'!F48</f>
        <v>4100</v>
      </c>
      <c r="D16" s="17">
        <f>'Program Cost Pro Forma'!L48</f>
        <v>4100</v>
      </c>
      <c r="E16" s="17">
        <f>C16-D16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8" t="s">
        <v>20</v>
      </c>
      <c r="C17" s="19">
        <f>'Program Cost Pro Forma'!G48</f>
        <v>4100</v>
      </c>
      <c r="D17" s="19">
        <v>0.0</v>
      </c>
      <c r="E17" s="19">
        <f>'Program Cost Pro Forma'!G48</f>
        <v>4100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20" t="s">
        <v>21</v>
      </c>
      <c r="C18" s="21">
        <f>'Program Cost Pro Forma'!I48</f>
        <v>4475</v>
      </c>
      <c r="D18" s="21">
        <v>0.0</v>
      </c>
      <c r="E18" s="2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22" t="s">
        <v>22</v>
      </c>
      <c r="C19" s="23">
        <f t="shared" ref="C19:D19" si="1">SUM(C14:C18)</f>
        <v>58970</v>
      </c>
      <c r="D19" s="23">
        <f t="shared" si="1"/>
        <v>8709</v>
      </c>
      <c r="E19" s="23">
        <f>SUM(E14:E17)</f>
        <v>45786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24" t="s">
        <v>23</v>
      </c>
      <c r="C20" s="25"/>
      <c r="D20" s="26"/>
      <c r="E20" s="27">
        <f>'Travel Detail'!R49</f>
        <v>1640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28" t="s">
        <v>24</v>
      </c>
      <c r="C21" s="29"/>
      <c r="D21" s="29"/>
      <c r="E21" s="30">
        <f>SUM(E19:E20)</f>
        <v>47426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1"/>
      <c r="B22" s="31" t="s">
        <v>25</v>
      </c>
      <c r="C22" s="32"/>
      <c r="D22" s="32"/>
      <c r="E22" s="3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6">
    <mergeCell ref="B2:E2"/>
    <mergeCell ref="B3:E3"/>
    <mergeCell ref="B4:E4"/>
    <mergeCell ref="B12:E12"/>
    <mergeCell ref="B20:D20"/>
    <mergeCell ref="B22:E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1.14"/>
    <col customWidth="1" min="3" max="3" width="16.0"/>
    <col customWidth="1" min="4" max="4" width="26.0"/>
    <col customWidth="1" min="5" max="5" width="20.0"/>
    <col customWidth="1" min="6" max="7" width="8.0"/>
    <col customWidth="1" min="8" max="8" width="9.14"/>
    <col customWidth="1" min="9" max="9" width="10.43"/>
    <col customWidth="1" min="10" max="10" width="20.0"/>
    <col customWidth="1" min="11" max="11" width="13.0"/>
    <col customWidth="1" min="12" max="13" width="14.0"/>
    <col customWidth="1" min="14" max="14" width="15.0"/>
    <col customWidth="1" min="15" max="15" width="10.43"/>
    <col customWidth="1" min="16" max="16" width="14.0"/>
    <col customWidth="1" min="17" max="17" width="13.0"/>
    <col customWidth="1" min="18" max="18" width="14.0"/>
    <col customWidth="1" min="19" max="19" width="4.86"/>
    <col customWidth="1" min="20" max="20" width="12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3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4.0" customHeight="1">
      <c r="A2" s="1"/>
      <c r="B2" s="35" t="s">
        <v>26</v>
      </c>
      <c r="S2" s="1"/>
      <c r="T2" s="1"/>
      <c r="U2" s="1"/>
      <c r="V2" s="1"/>
      <c r="W2" s="1"/>
      <c r="X2" s="1"/>
      <c r="Y2" s="1"/>
      <c r="Z2" s="1"/>
      <c r="AA2" s="1"/>
    </row>
    <row r="3" ht="24.0" customHeight="1">
      <c r="A3" s="1"/>
      <c r="B3" s="36" t="s">
        <v>27</v>
      </c>
      <c r="S3" s="1"/>
      <c r="T3" s="1"/>
      <c r="U3" s="1"/>
      <c r="V3" s="1"/>
      <c r="W3" s="1"/>
      <c r="X3" s="1"/>
      <c r="Y3" s="1"/>
      <c r="Z3" s="1"/>
      <c r="AA3" s="1"/>
    </row>
    <row r="4" ht="6.0" customHeight="1">
      <c r="A4" s="1"/>
      <c r="B4" s="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1"/>
      <c r="B5" s="37"/>
      <c r="C5" s="37"/>
      <c r="D5" s="37"/>
      <c r="E5" s="37"/>
      <c r="F5" s="37"/>
      <c r="G5" s="37"/>
      <c r="H5" s="1"/>
      <c r="I5" s="1"/>
      <c r="J5" s="38"/>
      <c r="K5" s="39" t="s">
        <v>28</v>
      </c>
      <c r="L5" s="40"/>
      <c r="M5" s="40"/>
      <c r="N5" s="41"/>
      <c r="O5" s="37"/>
      <c r="P5" s="37"/>
      <c r="Q5" s="37"/>
      <c r="R5" s="37"/>
      <c r="S5" s="1"/>
      <c r="T5" s="1"/>
      <c r="U5" s="1"/>
      <c r="V5" s="1"/>
      <c r="W5" s="1"/>
      <c r="X5" s="1"/>
      <c r="Y5" s="1"/>
      <c r="Z5" s="1"/>
      <c r="AA5" s="1"/>
    </row>
    <row r="6" ht="36.0" customHeight="1">
      <c r="A6" s="1"/>
      <c r="B6" s="42" t="s">
        <v>29</v>
      </c>
      <c r="C6" s="42" t="s">
        <v>30</v>
      </c>
      <c r="D6" s="42" t="s">
        <v>31</v>
      </c>
      <c r="E6" s="42" t="s">
        <v>32</v>
      </c>
      <c r="F6" s="43" t="s">
        <v>33</v>
      </c>
      <c r="G6" s="44" t="s">
        <v>34</v>
      </c>
      <c r="H6" s="44" t="s">
        <v>35</v>
      </c>
      <c r="I6" s="44" t="s">
        <v>36</v>
      </c>
      <c r="J6" s="45" t="s">
        <v>37</v>
      </c>
      <c r="K6" s="42" t="s">
        <v>38</v>
      </c>
      <c r="L6" s="42" t="s">
        <v>39</v>
      </c>
      <c r="M6" s="42" t="s">
        <v>40</v>
      </c>
      <c r="N6" s="42" t="s">
        <v>41</v>
      </c>
      <c r="O6" s="42" t="s">
        <v>42</v>
      </c>
      <c r="P6" s="46" t="s">
        <v>43</v>
      </c>
      <c r="Q6" s="42" t="s">
        <v>44</v>
      </c>
      <c r="R6" s="46" t="s">
        <v>45</v>
      </c>
      <c r="S6" s="47"/>
      <c r="T6" s="48" t="s">
        <v>46</v>
      </c>
      <c r="U6" s="1"/>
      <c r="V6" s="1"/>
      <c r="W6" s="1"/>
      <c r="X6" s="1"/>
      <c r="Y6" s="1"/>
      <c r="Z6" s="1"/>
      <c r="AA6" s="1"/>
    </row>
    <row r="7" ht="18.0" hidden="1" customHeight="1">
      <c r="A7" s="1"/>
      <c r="B7" s="49" t="s">
        <v>47</v>
      </c>
      <c r="C7" s="50" t="s">
        <v>48</v>
      </c>
      <c r="D7" s="50" t="s">
        <v>49</v>
      </c>
      <c r="E7" s="50" t="s">
        <v>50</v>
      </c>
      <c r="F7" s="51">
        <v>142.0</v>
      </c>
      <c r="G7" s="51"/>
      <c r="H7" s="51" t="s">
        <v>51</v>
      </c>
      <c r="I7" s="51" t="s">
        <v>51</v>
      </c>
      <c r="J7" s="51" t="s">
        <v>52</v>
      </c>
      <c r="K7" s="52">
        <v>234.0</v>
      </c>
      <c r="L7" s="53">
        <v>0.0</v>
      </c>
      <c r="M7" s="53">
        <v>0.0</v>
      </c>
      <c r="N7" s="53">
        <v>0.0</v>
      </c>
      <c r="O7" s="53">
        <v>0.0</v>
      </c>
      <c r="P7" s="54">
        <f t="shared" ref="P7:P47" si="1">K7+L7+M7+N7+O7</f>
        <v>234</v>
      </c>
      <c r="Q7" s="53">
        <f>IF(K7&gt;0,MIN(K7,150),0)</f>
        <v>150</v>
      </c>
      <c r="R7" s="55">
        <f t="shared" ref="R7:R47" si="2">MAX(0,P7-Q7)</f>
        <v>84</v>
      </c>
      <c r="S7" s="56"/>
      <c r="T7" s="57" t="s">
        <v>53</v>
      </c>
      <c r="U7" s="1"/>
      <c r="V7" s="1"/>
      <c r="W7" s="1"/>
      <c r="X7" s="1"/>
      <c r="Y7" s="1"/>
      <c r="Z7" s="1"/>
      <c r="AA7" s="1"/>
    </row>
    <row r="8" ht="18.0" customHeight="1">
      <c r="A8" s="1"/>
      <c r="B8" s="49" t="s">
        <v>54</v>
      </c>
      <c r="C8" s="50" t="s">
        <v>55</v>
      </c>
      <c r="D8" s="50" t="s">
        <v>56</v>
      </c>
      <c r="E8" s="50" t="s">
        <v>57</v>
      </c>
      <c r="F8" s="51">
        <v>531.0</v>
      </c>
      <c r="G8" s="51"/>
      <c r="H8" s="51" t="s">
        <v>58</v>
      </c>
      <c r="I8" s="51" t="s">
        <v>59</v>
      </c>
      <c r="J8" s="58" t="s">
        <v>60</v>
      </c>
      <c r="K8" s="52">
        <v>135.0</v>
      </c>
      <c r="L8" s="52">
        <v>173.0</v>
      </c>
      <c r="M8" s="52">
        <v>270.0</v>
      </c>
      <c r="N8" s="52">
        <v>50.0</v>
      </c>
      <c r="O8" s="52">
        <v>200.0</v>
      </c>
      <c r="P8" s="54">
        <f t="shared" si="1"/>
        <v>828</v>
      </c>
      <c r="Q8" s="53">
        <f t="shared" ref="Q8:Q9" si="3">IF(L8&gt;0,MIN(L8,150),0)</f>
        <v>150</v>
      </c>
      <c r="R8" s="55">
        <f t="shared" si="2"/>
        <v>678</v>
      </c>
      <c r="S8" s="56"/>
      <c r="T8" s="57" t="s">
        <v>53</v>
      </c>
      <c r="U8" s="1"/>
      <c r="V8" s="1"/>
      <c r="W8" s="1"/>
      <c r="X8" s="1"/>
      <c r="Y8" s="1"/>
      <c r="Z8" s="1"/>
      <c r="AA8" s="1"/>
    </row>
    <row r="9" ht="18.0" hidden="1" customHeight="1">
      <c r="A9" s="1"/>
      <c r="B9" s="49" t="s">
        <v>61</v>
      </c>
      <c r="C9" s="50" t="s">
        <v>62</v>
      </c>
      <c r="D9" s="50" t="s">
        <v>63</v>
      </c>
      <c r="E9" s="50" t="s">
        <v>64</v>
      </c>
      <c r="F9" s="59">
        <v>1861.0</v>
      </c>
      <c r="G9" s="60" t="s">
        <v>65</v>
      </c>
      <c r="H9" s="59" t="s">
        <v>51</v>
      </c>
      <c r="I9" s="59" t="s">
        <v>51</v>
      </c>
      <c r="J9" s="58" t="s">
        <v>66</v>
      </c>
      <c r="K9" s="52">
        <v>268.0</v>
      </c>
      <c r="L9" s="52">
        <v>0.0</v>
      </c>
      <c r="M9" s="52">
        <v>200.0</v>
      </c>
      <c r="N9" s="52">
        <v>0.0</v>
      </c>
      <c r="O9" s="52">
        <v>400.0</v>
      </c>
      <c r="P9" s="54">
        <f t="shared" si="1"/>
        <v>868</v>
      </c>
      <c r="Q9" s="53">
        <f t="shared" si="3"/>
        <v>0</v>
      </c>
      <c r="R9" s="55">
        <f t="shared" si="2"/>
        <v>868</v>
      </c>
      <c r="S9" s="56"/>
      <c r="T9" s="57" t="s">
        <v>51</v>
      </c>
      <c r="U9" s="1"/>
      <c r="V9" s="1"/>
      <c r="W9" s="1"/>
      <c r="X9" s="1"/>
      <c r="Y9" s="1"/>
      <c r="Z9" s="1"/>
      <c r="AA9" s="1"/>
    </row>
    <row r="10" ht="18.0" hidden="1" customHeight="1">
      <c r="A10" s="1"/>
      <c r="B10" s="49" t="s">
        <v>67</v>
      </c>
      <c r="C10" s="50" t="s">
        <v>68</v>
      </c>
      <c r="D10" s="50" t="s">
        <v>69</v>
      </c>
      <c r="E10" s="50" t="s">
        <v>70</v>
      </c>
      <c r="F10" s="51">
        <v>156.0</v>
      </c>
      <c r="G10" s="51"/>
      <c r="H10" s="51" t="s">
        <v>51</v>
      </c>
      <c r="I10" s="51" t="s">
        <v>51</v>
      </c>
      <c r="J10" s="51" t="s">
        <v>52</v>
      </c>
      <c r="K10" s="52">
        <v>257.0</v>
      </c>
      <c r="L10" s="53">
        <v>0.0</v>
      </c>
      <c r="M10" s="53">
        <v>0.0</v>
      </c>
      <c r="N10" s="53">
        <v>0.0</v>
      </c>
      <c r="O10" s="53">
        <v>0.0</v>
      </c>
      <c r="P10" s="54">
        <f t="shared" si="1"/>
        <v>257</v>
      </c>
      <c r="Q10" s="53">
        <f t="shared" ref="Q10:Q12" si="4">IF(K10&gt;0,MIN(K10,150),0)</f>
        <v>150</v>
      </c>
      <c r="R10" s="55">
        <f t="shared" si="2"/>
        <v>107</v>
      </c>
      <c r="S10" s="56"/>
      <c r="T10" s="57" t="s">
        <v>53</v>
      </c>
      <c r="U10" s="1"/>
      <c r="V10" s="1"/>
      <c r="W10" s="1"/>
      <c r="X10" s="1"/>
      <c r="Y10" s="1"/>
      <c r="Z10" s="1"/>
      <c r="AA10" s="1"/>
    </row>
    <row r="11" ht="18.0" hidden="1" customHeight="1">
      <c r="A11" s="1"/>
      <c r="B11" s="61" t="s">
        <v>71</v>
      </c>
      <c r="C11" s="62" t="s">
        <v>72</v>
      </c>
      <c r="D11" s="62" t="s">
        <v>73</v>
      </c>
      <c r="E11" s="62" t="s">
        <v>74</v>
      </c>
      <c r="F11" s="51">
        <v>78.0</v>
      </c>
      <c r="G11" s="51"/>
      <c r="H11" s="51" t="s">
        <v>51</v>
      </c>
      <c r="I11" s="51" t="s">
        <v>51</v>
      </c>
      <c r="J11" s="59" t="s">
        <v>52</v>
      </c>
      <c r="K11" s="52">
        <v>129.0</v>
      </c>
      <c r="L11" s="63">
        <v>0.0</v>
      </c>
      <c r="M11" s="63">
        <v>0.0</v>
      </c>
      <c r="N11" s="63">
        <v>0.0</v>
      </c>
      <c r="O11" s="63">
        <v>0.0</v>
      </c>
      <c r="P11" s="54">
        <f t="shared" si="1"/>
        <v>129</v>
      </c>
      <c r="Q11" s="63">
        <f t="shared" si="4"/>
        <v>129</v>
      </c>
      <c r="R11" s="63">
        <f t="shared" si="2"/>
        <v>0</v>
      </c>
      <c r="S11" s="56"/>
      <c r="T11" s="64" t="s">
        <v>53</v>
      </c>
      <c r="U11" s="1"/>
      <c r="V11" s="1"/>
      <c r="W11" s="1"/>
      <c r="X11" s="1"/>
      <c r="Y11" s="1"/>
      <c r="Z11" s="1"/>
      <c r="AA11" s="1"/>
    </row>
    <row r="12" ht="18.0" hidden="1" customHeight="1">
      <c r="A12" s="1"/>
      <c r="B12" s="61" t="s">
        <v>75</v>
      </c>
      <c r="C12" s="62" t="s">
        <v>55</v>
      </c>
      <c r="D12" s="62" t="s">
        <v>49</v>
      </c>
      <c r="E12" s="62" t="s">
        <v>50</v>
      </c>
      <c r="F12" s="59">
        <v>132.0</v>
      </c>
      <c r="G12" s="65"/>
      <c r="H12" s="59" t="s">
        <v>51</v>
      </c>
      <c r="I12" s="59" t="s">
        <v>51</v>
      </c>
      <c r="J12" s="59" t="s">
        <v>52</v>
      </c>
      <c r="K12" s="52">
        <v>218.0</v>
      </c>
      <c r="L12" s="63">
        <v>0.0</v>
      </c>
      <c r="M12" s="63">
        <v>0.0</v>
      </c>
      <c r="N12" s="63">
        <v>0.0</v>
      </c>
      <c r="O12" s="63">
        <v>0.0</v>
      </c>
      <c r="P12" s="54">
        <f t="shared" si="1"/>
        <v>218</v>
      </c>
      <c r="Q12" s="63">
        <f t="shared" si="4"/>
        <v>150</v>
      </c>
      <c r="R12" s="55">
        <f t="shared" si="2"/>
        <v>68</v>
      </c>
      <c r="S12" s="56"/>
      <c r="T12" s="64" t="s">
        <v>53</v>
      </c>
      <c r="U12" s="1"/>
      <c r="V12" s="1"/>
      <c r="W12" s="1"/>
      <c r="X12" s="1"/>
      <c r="Y12" s="1"/>
      <c r="Z12" s="1"/>
      <c r="AA12" s="1"/>
    </row>
    <row r="13" ht="18.0" customHeight="1">
      <c r="A13" s="1"/>
      <c r="B13" s="61" t="s">
        <v>76</v>
      </c>
      <c r="C13" s="62" t="s">
        <v>68</v>
      </c>
      <c r="D13" s="62" t="s">
        <v>77</v>
      </c>
      <c r="E13" s="62" t="s">
        <v>78</v>
      </c>
      <c r="F13" s="59">
        <v>524.0</v>
      </c>
      <c r="G13" s="59"/>
      <c r="H13" s="59" t="s">
        <v>58</v>
      </c>
      <c r="I13" s="59" t="s">
        <v>59</v>
      </c>
      <c r="J13" s="66" t="s">
        <v>60</v>
      </c>
      <c r="K13" s="52">
        <v>135.0</v>
      </c>
      <c r="L13" s="52">
        <v>94.0</v>
      </c>
      <c r="M13" s="63">
        <v>0.0</v>
      </c>
      <c r="N13" s="63">
        <v>0.0</v>
      </c>
      <c r="O13" s="52">
        <v>0.0</v>
      </c>
      <c r="P13" s="54">
        <f t="shared" si="1"/>
        <v>229</v>
      </c>
      <c r="Q13" s="63">
        <f>IF(L13&gt;0,MIN(L13,150),0)</f>
        <v>94</v>
      </c>
      <c r="R13" s="55">
        <f t="shared" si="2"/>
        <v>135</v>
      </c>
      <c r="S13" s="56"/>
      <c r="T13" s="64" t="s">
        <v>53</v>
      </c>
      <c r="U13" s="1"/>
      <c r="V13" s="1"/>
      <c r="W13" s="1"/>
      <c r="X13" s="1"/>
      <c r="Y13" s="1"/>
      <c r="Z13" s="1"/>
      <c r="AA13" s="1"/>
    </row>
    <row r="14" ht="18.0" hidden="1" customHeight="1">
      <c r="A14" s="1"/>
      <c r="B14" s="61" t="s">
        <v>79</v>
      </c>
      <c r="C14" s="62" t="s">
        <v>55</v>
      </c>
      <c r="D14" s="62" t="s">
        <v>73</v>
      </c>
      <c r="E14" s="62" t="s">
        <v>74</v>
      </c>
      <c r="F14" s="59">
        <v>88.0</v>
      </c>
      <c r="G14" s="59"/>
      <c r="H14" s="59" t="s">
        <v>51</v>
      </c>
      <c r="I14" s="59" t="s">
        <v>51</v>
      </c>
      <c r="J14" s="59" t="s">
        <v>52</v>
      </c>
      <c r="K14" s="52">
        <v>145.0</v>
      </c>
      <c r="L14" s="63">
        <v>0.0</v>
      </c>
      <c r="M14" s="63">
        <v>0.0</v>
      </c>
      <c r="N14" s="63">
        <v>0.0</v>
      </c>
      <c r="O14" s="63">
        <v>0.0</v>
      </c>
      <c r="P14" s="54">
        <f t="shared" si="1"/>
        <v>145</v>
      </c>
      <c r="Q14" s="63">
        <f t="shared" ref="Q14:Q19" si="5">IF(K14&gt;0,MIN(K14,150),0)</f>
        <v>145</v>
      </c>
      <c r="R14" s="63">
        <f t="shared" si="2"/>
        <v>0</v>
      </c>
      <c r="S14" s="56"/>
      <c r="T14" s="64" t="s">
        <v>53</v>
      </c>
      <c r="U14" s="1"/>
      <c r="V14" s="1"/>
      <c r="W14" s="1"/>
      <c r="X14" s="1"/>
      <c r="Y14" s="1"/>
      <c r="Z14" s="1"/>
      <c r="AA14" s="1"/>
    </row>
    <row r="15" ht="18.0" hidden="1" customHeight="1">
      <c r="A15" s="1"/>
      <c r="B15" s="61" t="s">
        <v>80</v>
      </c>
      <c r="C15" s="62" t="s">
        <v>55</v>
      </c>
      <c r="D15" s="62" t="s">
        <v>81</v>
      </c>
      <c r="E15" s="62" t="s">
        <v>82</v>
      </c>
      <c r="F15" s="59">
        <v>166.0</v>
      </c>
      <c r="G15" s="59"/>
      <c r="H15" s="59" t="s">
        <v>51</v>
      </c>
      <c r="I15" s="59" t="s">
        <v>51</v>
      </c>
      <c r="J15" s="59" t="s">
        <v>52</v>
      </c>
      <c r="K15" s="52">
        <v>274.0</v>
      </c>
      <c r="L15" s="63">
        <v>0.0</v>
      </c>
      <c r="M15" s="52">
        <v>274.0</v>
      </c>
      <c r="N15" s="63">
        <v>0.0</v>
      </c>
      <c r="O15" s="63">
        <v>0.0</v>
      </c>
      <c r="P15" s="54">
        <f t="shared" si="1"/>
        <v>548</v>
      </c>
      <c r="Q15" s="63">
        <f t="shared" si="5"/>
        <v>150</v>
      </c>
      <c r="R15" s="55">
        <f t="shared" si="2"/>
        <v>398</v>
      </c>
      <c r="S15" s="56"/>
      <c r="T15" s="64" t="s">
        <v>53</v>
      </c>
      <c r="U15" s="1"/>
      <c r="V15" s="1"/>
      <c r="W15" s="1"/>
      <c r="X15" s="1"/>
      <c r="Y15" s="1"/>
      <c r="Z15" s="1"/>
      <c r="AA15" s="1"/>
    </row>
    <row r="16" ht="18.0" hidden="1" customHeight="1">
      <c r="A16" s="1"/>
      <c r="B16" s="49" t="s">
        <v>83</v>
      </c>
      <c r="C16" s="50" t="s">
        <v>84</v>
      </c>
      <c r="D16" s="50" t="s">
        <v>85</v>
      </c>
      <c r="E16" s="50" t="s">
        <v>86</v>
      </c>
      <c r="F16" s="51">
        <v>133.0</v>
      </c>
      <c r="G16" s="51"/>
      <c r="H16" s="51" t="s">
        <v>51</v>
      </c>
      <c r="I16" s="51" t="s">
        <v>51</v>
      </c>
      <c r="J16" s="51" t="s">
        <v>52</v>
      </c>
      <c r="K16" s="52">
        <v>219.0</v>
      </c>
      <c r="L16" s="53">
        <v>0.0</v>
      </c>
      <c r="M16" s="52">
        <v>219.0</v>
      </c>
      <c r="N16" s="53">
        <v>0.0</v>
      </c>
      <c r="O16" s="53">
        <v>0.0</v>
      </c>
      <c r="P16" s="54">
        <f t="shared" si="1"/>
        <v>438</v>
      </c>
      <c r="Q16" s="53">
        <f t="shared" si="5"/>
        <v>150</v>
      </c>
      <c r="R16" s="55">
        <f t="shared" si="2"/>
        <v>288</v>
      </c>
      <c r="S16" s="56"/>
      <c r="T16" s="57" t="s">
        <v>53</v>
      </c>
      <c r="U16" s="1"/>
      <c r="V16" s="1"/>
      <c r="W16" s="1"/>
      <c r="X16" s="1"/>
      <c r="Y16" s="1"/>
      <c r="Z16" s="1"/>
      <c r="AA16" s="1"/>
    </row>
    <row r="17" ht="18.0" hidden="1" customHeight="1">
      <c r="A17" s="1"/>
      <c r="B17" s="67" t="s">
        <v>87</v>
      </c>
      <c r="C17" s="68" t="s">
        <v>88</v>
      </c>
      <c r="D17" s="68" t="s">
        <v>89</v>
      </c>
      <c r="E17" s="68" t="s">
        <v>68</v>
      </c>
      <c r="F17" s="69">
        <v>12.0</v>
      </c>
      <c r="G17" s="69"/>
      <c r="H17" s="69" t="s">
        <v>51</v>
      </c>
      <c r="I17" s="69" t="s">
        <v>51</v>
      </c>
      <c r="J17" s="69" t="s">
        <v>52</v>
      </c>
      <c r="K17" s="70">
        <v>25.0</v>
      </c>
      <c r="L17" s="71">
        <v>0.0</v>
      </c>
      <c r="M17" s="71">
        <v>0.0</v>
      </c>
      <c r="N17" s="71">
        <v>0.0</v>
      </c>
      <c r="O17" s="71">
        <v>0.0</v>
      </c>
      <c r="P17" s="72">
        <f t="shared" si="1"/>
        <v>25</v>
      </c>
      <c r="Q17" s="71">
        <f t="shared" si="5"/>
        <v>25</v>
      </c>
      <c r="R17" s="71">
        <f t="shared" si="2"/>
        <v>0</v>
      </c>
      <c r="S17" s="73"/>
      <c r="T17" s="74" t="s">
        <v>53</v>
      </c>
      <c r="U17" s="1"/>
      <c r="V17" s="1"/>
      <c r="W17" s="1"/>
      <c r="X17" s="1"/>
      <c r="Y17" s="1"/>
      <c r="Z17" s="1"/>
      <c r="AA17" s="1"/>
    </row>
    <row r="18" ht="18.0" hidden="1" customHeight="1">
      <c r="A18" s="1"/>
      <c r="B18" s="61" t="s">
        <v>90</v>
      </c>
      <c r="C18" s="62" t="s">
        <v>91</v>
      </c>
      <c r="D18" s="62" t="s">
        <v>49</v>
      </c>
      <c r="E18" s="62" t="s">
        <v>50</v>
      </c>
      <c r="F18" s="59">
        <v>143.0</v>
      </c>
      <c r="G18" s="59"/>
      <c r="H18" s="59" t="s">
        <v>51</v>
      </c>
      <c r="I18" s="59" t="s">
        <v>51</v>
      </c>
      <c r="J18" s="59" t="s">
        <v>52</v>
      </c>
      <c r="K18" s="52">
        <v>236.0</v>
      </c>
      <c r="L18" s="63">
        <v>0.0</v>
      </c>
      <c r="M18" s="52">
        <v>236.0</v>
      </c>
      <c r="N18" s="63">
        <v>0.0</v>
      </c>
      <c r="O18" s="63">
        <v>0.0</v>
      </c>
      <c r="P18" s="54">
        <f t="shared" si="1"/>
        <v>472</v>
      </c>
      <c r="Q18" s="63">
        <f t="shared" si="5"/>
        <v>150</v>
      </c>
      <c r="R18" s="55">
        <f t="shared" si="2"/>
        <v>322</v>
      </c>
      <c r="S18" s="56"/>
      <c r="T18" s="64" t="s">
        <v>53</v>
      </c>
      <c r="U18" s="1"/>
      <c r="V18" s="1"/>
      <c r="W18" s="1"/>
      <c r="X18" s="1"/>
      <c r="Y18" s="1"/>
      <c r="Z18" s="1"/>
      <c r="AA18" s="1"/>
    </row>
    <row r="19" ht="18.0" hidden="1" customHeight="1">
      <c r="A19" s="1"/>
      <c r="B19" s="49" t="s">
        <v>92</v>
      </c>
      <c r="C19" s="50" t="s">
        <v>93</v>
      </c>
      <c r="D19" s="50" t="s">
        <v>94</v>
      </c>
      <c r="E19" s="50" t="s">
        <v>95</v>
      </c>
      <c r="F19" s="51">
        <v>115.0</v>
      </c>
      <c r="G19" s="51"/>
      <c r="H19" s="51" t="s">
        <v>51</v>
      </c>
      <c r="I19" s="51" t="s">
        <v>51</v>
      </c>
      <c r="J19" s="51" t="s">
        <v>52</v>
      </c>
      <c r="K19" s="52">
        <v>190.0</v>
      </c>
      <c r="L19" s="53">
        <v>0.0</v>
      </c>
      <c r="M19" s="53">
        <v>0.0</v>
      </c>
      <c r="N19" s="53">
        <v>0.0</v>
      </c>
      <c r="O19" s="53">
        <v>0.0</v>
      </c>
      <c r="P19" s="54">
        <f t="shared" si="1"/>
        <v>190</v>
      </c>
      <c r="Q19" s="53">
        <f t="shared" si="5"/>
        <v>150</v>
      </c>
      <c r="R19" s="55">
        <f t="shared" si="2"/>
        <v>40</v>
      </c>
      <c r="S19" s="56"/>
      <c r="T19" s="57" t="s">
        <v>53</v>
      </c>
      <c r="U19" s="1"/>
      <c r="V19" s="1"/>
      <c r="W19" s="1"/>
      <c r="X19" s="1"/>
      <c r="Y19" s="1"/>
      <c r="Z19" s="1"/>
      <c r="AA19" s="1"/>
    </row>
    <row r="20" ht="18.0" customHeight="1">
      <c r="A20" s="1"/>
      <c r="B20" s="61" t="s">
        <v>96</v>
      </c>
      <c r="C20" s="62" t="s">
        <v>91</v>
      </c>
      <c r="D20" s="62" t="s">
        <v>97</v>
      </c>
      <c r="E20" s="62" t="s">
        <v>98</v>
      </c>
      <c r="F20" s="59">
        <v>2478.0</v>
      </c>
      <c r="G20" s="59"/>
      <c r="H20" s="59" t="s">
        <v>58</v>
      </c>
      <c r="I20" s="59" t="s">
        <v>99</v>
      </c>
      <c r="J20" s="66" t="s">
        <v>100</v>
      </c>
      <c r="K20" s="52">
        <v>200.0</v>
      </c>
      <c r="L20" s="52">
        <v>175.0</v>
      </c>
      <c r="M20" s="52">
        <v>400.0</v>
      </c>
      <c r="N20" s="52">
        <v>50.0</v>
      </c>
      <c r="O20" s="52">
        <v>400.0</v>
      </c>
      <c r="P20" s="54">
        <f t="shared" si="1"/>
        <v>1225</v>
      </c>
      <c r="Q20" s="63">
        <f>IF(L20&gt;0,MIN(L20,150),0)</f>
        <v>150</v>
      </c>
      <c r="R20" s="55">
        <f t="shared" si="2"/>
        <v>1075</v>
      </c>
      <c r="S20" s="56"/>
      <c r="T20" s="64" t="s">
        <v>53</v>
      </c>
      <c r="U20" s="1"/>
      <c r="V20" s="1"/>
      <c r="W20" s="1"/>
      <c r="X20" s="1"/>
      <c r="Y20" s="1"/>
      <c r="Z20" s="1"/>
      <c r="AA20" s="1"/>
    </row>
    <row r="21" ht="18.0" hidden="1" customHeight="1">
      <c r="A21" s="1"/>
      <c r="B21" s="49" t="s">
        <v>101</v>
      </c>
      <c r="C21" s="50" t="s">
        <v>55</v>
      </c>
      <c r="D21" s="50" t="s">
        <v>73</v>
      </c>
      <c r="E21" s="50" t="s">
        <v>74</v>
      </c>
      <c r="F21" s="51">
        <v>87.0</v>
      </c>
      <c r="G21" s="51"/>
      <c r="H21" s="51" t="s">
        <v>51</v>
      </c>
      <c r="I21" s="51" t="s">
        <v>51</v>
      </c>
      <c r="J21" s="51" t="s">
        <v>52</v>
      </c>
      <c r="K21" s="52">
        <v>144.0</v>
      </c>
      <c r="L21" s="53">
        <v>0.0</v>
      </c>
      <c r="M21" s="53">
        <v>0.0</v>
      </c>
      <c r="N21" s="53">
        <v>0.0</v>
      </c>
      <c r="O21" s="53">
        <v>0.0</v>
      </c>
      <c r="P21" s="54">
        <f t="shared" si="1"/>
        <v>144</v>
      </c>
      <c r="Q21" s="53">
        <f>IF(K21&gt;0,MIN(K21,150),0)</f>
        <v>144</v>
      </c>
      <c r="R21" s="53">
        <f t="shared" si="2"/>
        <v>0</v>
      </c>
      <c r="S21" s="56"/>
      <c r="T21" s="57" t="s">
        <v>53</v>
      </c>
      <c r="U21" s="1"/>
      <c r="V21" s="1"/>
      <c r="W21" s="1"/>
      <c r="X21" s="1"/>
      <c r="Y21" s="1"/>
      <c r="Z21" s="1"/>
      <c r="AA21" s="1"/>
    </row>
    <row r="22" ht="18.0" customHeight="1">
      <c r="A22" s="1"/>
      <c r="B22" s="49" t="s">
        <v>102</v>
      </c>
      <c r="C22" s="50" t="s">
        <v>103</v>
      </c>
      <c r="D22" s="50" t="s">
        <v>104</v>
      </c>
      <c r="E22" s="50" t="s">
        <v>105</v>
      </c>
      <c r="F22" s="59">
        <v>2989.0</v>
      </c>
      <c r="G22" s="59"/>
      <c r="H22" s="59" t="s">
        <v>106</v>
      </c>
      <c r="I22" s="59" t="s">
        <v>107</v>
      </c>
      <c r="J22" s="58" t="s">
        <v>100</v>
      </c>
      <c r="K22" s="52">
        <v>220.0</v>
      </c>
      <c r="L22" s="52">
        <v>62.0</v>
      </c>
      <c r="M22" s="53">
        <v>0.0</v>
      </c>
      <c r="N22" s="53">
        <v>0.0</v>
      </c>
      <c r="O22" s="52">
        <v>0.0</v>
      </c>
      <c r="P22" s="54">
        <f t="shared" si="1"/>
        <v>282</v>
      </c>
      <c r="Q22" s="53">
        <f t="shared" ref="Q22:Q25" si="6">IF(L22&gt;0,MIN(L22,150),0)</f>
        <v>62</v>
      </c>
      <c r="R22" s="55">
        <f t="shared" si="2"/>
        <v>220</v>
      </c>
      <c r="S22" s="56"/>
      <c r="T22" s="57" t="s">
        <v>53</v>
      </c>
      <c r="U22" s="1"/>
      <c r="V22" s="1"/>
      <c r="W22" s="1"/>
      <c r="X22" s="1"/>
      <c r="Y22" s="1"/>
      <c r="Z22" s="1"/>
      <c r="AA22" s="1"/>
    </row>
    <row r="23" ht="18.0" customHeight="1">
      <c r="A23" s="1"/>
      <c r="B23" s="61" t="s">
        <v>108</v>
      </c>
      <c r="C23" s="62" t="s">
        <v>109</v>
      </c>
      <c r="D23" s="62" t="s">
        <v>110</v>
      </c>
      <c r="E23" s="62" t="s">
        <v>111</v>
      </c>
      <c r="F23" s="59">
        <v>483.0</v>
      </c>
      <c r="G23" s="59"/>
      <c r="H23" s="59" t="s">
        <v>58</v>
      </c>
      <c r="I23" s="59" t="s">
        <v>112</v>
      </c>
      <c r="J23" s="66" t="s">
        <v>113</v>
      </c>
      <c r="K23" s="52">
        <v>135.0</v>
      </c>
      <c r="L23" s="52">
        <v>162.0</v>
      </c>
      <c r="M23" s="52">
        <v>270.0</v>
      </c>
      <c r="N23" s="52">
        <v>50.0</v>
      </c>
      <c r="O23" s="52">
        <v>200.0</v>
      </c>
      <c r="P23" s="54">
        <f t="shared" si="1"/>
        <v>817</v>
      </c>
      <c r="Q23" s="63">
        <f t="shared" si="6"/>
        <v>150</v>
      </c>
      <c r="R23" s="55">
        <f t="shared" si="2"/>
        <v>667</v>
      </c>
      <c r="S23" s="56"/>
      <c r="T23" s="64" t="s">
        <v>53</v>
      </c>
      <c r="U23" s="1"/>
      <c r="V23" s="1"/>
      <c r="W23" s="1"/>
      <c r="X23" s="1"/>
      <c r="Y23" s="1"/>
      <c r="Z23" s="1"/>
      <c r="AA23" s="1"/>
    </row>
    <row r="24" ht="18.0" customHeight="1">
      <c r="A24" s="1"/>
      <c r="B24" s="49" t="s">
        <v>114</v>
      </c>
      <c r="C24" s="50" t="s">
        <v>115</v>
      </c>
      <c r="D24" s="50" t="s">
        <v>116</v>
      </c>
      <c r="E24" s="50" t="s">
        <v>117</v>
      </c>
      <c r="F24" s="51">
        <v>211.0</v>
      </c>
      <c r="G24" s="51"/>
      <c r="H24" s="51" t="s">
        <v>118</v>
      </c>
      <c r="I24" s="51" t="s">
        <v>119</v>
      </c>
      <c r="J24" s="51" t="s">
        <v>113</v>
      </c>
      <c r="K24" s="52">
        <v>135.0</v>
      </c>
      <c r="L24" s="53">
        <v>66.0</v>
      </c>
      <c r="M24" s="52">
        <v>270.0</v>
      </c>
      <c r="N24" s="53">
        <v>50.0</v>
      </c>
      <c r="O24" s="53">
        <v>200.0</v>
      </c>
      <c r="P24" s="54">
        <f t="shared" si="1"/>
        <v>721</v>
      </c>
      <c r="Q24" s="53">
        <f t="shared" si="6"/>
        <v>66</v>
      </c>
      <c r="R24" s="55">
        <f t="shared" si="2"/>
        <v>655</v>
      </c>
      <c r="S24" s="56"/>
      <c r="T24" s="57" t="s">
        <v>53</v>
      </c>
      <c r="U24" s="1"/>
      <c r="V24" s="1"/>
      <c r="W24" s="1"/>
      <c r="X24" s="1"/>
      <c r="Y24" s="1"/>
      <c r="Z24" s="1"/>
      <c r="AA24" s="1"/>
    </row>
    <row r="25" ht="18.0" customHeight="1">
      <c r="A25" s="1"/>
      <c r="B25" s="49" t="s">
        <v>120</v>
      </c>
      <c r="C25" s="50" t="s">
        <v>109</v>
      </c>
      <c r="D25" s="50" t="s">
        <v>121</v>
      </c>
      <c r="E25" s="50" t="s">
        <v>122</v>
      </c>
      <c r="F25" s="59">
        <v>2137.0</v>
      </c>
      <c r="G25" s="59"/>
      <c r="H25" s="59" t="s">
        <v>58</v>
      </c>
      <c r="I25" s="59" t="s">
        <v>123</v>
      </c>
      <c r="J25" s="58" t="s">
        <v>100</v>
      </c>
      <c r="K25" s="52">
        <v>200.0</v>
      </c>
      <c r="L25" s="52">
        <v>168.0</v>
      </c>
      <c r="M25" s="52">
        <v>400.0</v>
      </c>
      <c r="N25" s="52">
        <v>50.0</v>
      </c>
      <c r="O25" s="52">
        <v>400.0</v>
      </c>
      <c r="P25" s="54">
        <f t="shared" si="1"/>
        <v>1218</v>
      </c>
      <c r="Q25" s="53">
        <f t="shared" si="6"/>
        <v>150</v>
      </c>
      <c r="R25" s="55">
        <f t="shared" si="2"/>
        <v>1068</v>
      </c>
      <c r="S25" s="56"/>
      <c r="T25" s="57" t="s">
        <v>53</v>
      </c>
      <c r="U25" s="1"/>
      <c r="V25" s="1"/>
      <c r="W25" s="1"/>
      <c r="X25" s="1"/>
      <c r="Y25" s="1"/>
      <c r="Z25" s="1"/>
      <c r="AA25" s="1"/>
    </row>
    <row r="26" ht="18.0" hidden="1" customHeight="1">
      <c r="A26" s="1"/>
      <c r="B26" s="61" t="s">
        <v>124</v>
      </c>
      <c r="C26" s="62" t="s">
        <v>84</v>
      </c>
      <c r="D26" s="62" t="s">
        <v>85</v>
      </c>
      <c r="E26" s="62" t="s">
        <v>86</v>
      </c>
      <c r="F26" s="59">
        <v>134.0</v>
      </c>
      <c r="G26" s="59"/>
      <c r="H26" s="59" t="s">
        <v>51</v>
      </c>
      <c r="I26" s="59" t="s">
        <v>51</v>
      </c>
      <c r="J26" s="59" t="s">
        <v>52</v>
      </c>
      <c r="K26" s="52">
        <v>221.0</v>
      </c>
      <c r="L26" s="63">
        <v>0.0</v>
      </c>
      <c r="M26" s="63">
        <v>0.0</v>
      </c>
      <c r="N26" s="63">
        <v>0.0</v>
      </c>
      <c r="O26" s="63">
        <v>0.0</v>
      </c>
      <c r="P26" s="54">
        <f t="shared" si="1"/>
        <v>221</v>
      </c>
      <c r="Q26" s="63">
        <f>IF(K26&gt;0,MIN(K26,150),0)</f>
        <v>150</v>
      </c>
      <c r="R26" s="55">
        <f t="shared" si="2"/>
        <v>71</v>
      </c>
      <c r="S26" s="56"/>
      <c r="T26" s="64" t="s">
        <v>53</v>
      </c>
      <c r="U26" s="1"/>
      <c r="V26" s="1"/>
      <c r="W26" s="1"/>
      <c r="X26" s="1"/>
      <c r="Y26" s="1"/>
      <c r="Z26" s="1"/>
      <c r="AA26" s="1"/>
    </row>
    <row r="27" ht="18.0" customHeight="1">
      <c r="A27" s="1"/>
      <c r="B27" s="49" t="s">
        <v>125</v>
      </c>
      <c r="C27" s="50" t="s">
        <v>68</v>
      </c>
      <c r="D27" s="50" t="s">
        <v>126</v>
      </c>
      <c r="E27" s="50" t="s">
        <v>127</v>
      </c>
      <c r="F27" s="51">
        <v>269.0</v>
      </c>
      <c r="G27" s="51"/>
      <c r="H27" s="51" t="s">
        <v>58</v>
      </c>
      <c r="I27" s="51" t="s">
        <v>128</v>
      </c>
      <c r="J27" s="51" t="s">
        <v>113</v>
      </c>
      <c r="K27" s="52">
        <v>135.0</v>
      </c>
      <c r="L27" s="53">
        <v>116.0</v>
      </c>
      <c r="M27" s="52">
        <v>270.0</v>
      </c>
      <c r="N27" s="53">
        <v>50.0</v>
      </c>
      <c r="O27" s="53">
        <v>200.0</v>
      </c>
      <c r="P27" s="54">
        <f t="shared" si="1"/>
        <v>771</v>
      </c>
      <c r="Q27" s="53">
        <f>IF(L27&gt;0,MIN(L27,150),0)</f>
        <v>116</v>
      </c>
      <c r="R27" s="55">
        <f t="shared" si="2"/>
        <v>655</v>
      </c>
      <c r="S27" s="56"/>
      <c r="T27" s="57" t="s">
        <v>53</v>
      </c>
      <c r="U27" s="1"/>
      <c r="V27" s="1"/>
      <c r="W27" s="1"/>
      <c r="X27" s="1"/>
      <c r="Y27" s="1"/>
      <c r="Z27" s="1"/>
      <c r="AA27" s="1"/>
    </row>
    <row r="28" ht="18.0" hidden="1" customHeight="1">
      <c r="A28" s="1"/>
      <c r="B28" s="61" t="s">
        <v>129</v>
      </c>
      <c r="C28" s="62" t="s">
        <v>130</v>
      </c>
      <c r="D28" s="62" t="s">
        <v>69</v>
      </c>
      <c r="E28" s="62" t="s">
        <v>70</v>
      </c>
      <c r="F28" s="59">
        <v>220.0</v>
      </c>
      <c r="G28" s="59"/>
      <c r="H28" s="59" t="s">
        <v>51</v>
      </c>
      <c r="I28" s="59" t="s">
        <v>51</v>
      </c>
      <c r="J28" s="75" t="s">
        <v>52</v>
      </c>
      <c r="K28" s="52">
        <v>363.0</v>
      </c>
      <c r="L28" s="63">
        <v>0.0</v>
      </c>
      <c r="M28" s="52">
        <v>363.0</v>
      </c>
      <c r="N28" s="63">
        <v>0.0</v>
      </c>
      <c r="O28" s="63">
        <v>0.0</v>
      </c>
      <c r="P28" s="54">
        <f t="shared" si="1"/>
        <v>726</v>
      </c>
      <c r="Q28" s="63">
        <f>IF(K28&gt;0,MIN(K28,150),0)</f>
        <v>150</v>
      </c>
      <c r="R28" s="55">
        <f t="shared" si="2"/>
        <v>576</v>
      </c>
      <c r="S28" s="56"/>
      <c r="T28" s="64" t="s">
        <v>53</v>
      </c>
      <c r="U28" s="1"/>
      <c r="V28" s="1"/>
      <c r="W28" s="1"/>
      <c r="X28" s="1"/>
      <c r="Y28" s="1"/>
      <c r="Z28" s="1"/>
      <c r="AA28" s="1"/>
    </row>
    <row r="29" ht="18.0" customHeight="1">
      <c r="A29" s="1"/>
      <c r="B29" s="61" t="s">
        <v>131</v>
      </c>
      <c r="C29" s="62" t="s">
        <v>88</v>
      </c>
      <c r="D29" s="62" t="s">
        <v>132</v>
      </c>
      <c r="E29" s="62" t="s">
        <v>122</v>
      </c>
      <c r="F29" s="59">
        <v>2108.0</v>
      </c>
      <c r="G29" s="59"/>
      <c r="H29" s="59" t="s">
        <v>58</v>
      </c>
      <c r="I29" s="59" t="s">
        <v>123</v>
      </c>
      <c r="J29" s="66" t="s">
        <v>100</v>
      </c>
      <c r="K29" s="52">
        <v>200.0</v>
      </c>
      <c r="L29" s="52">
        <v>89.0</v>
      </c>
      <c r="M29" s="63">
        <v>0.0</v>
      </c>
      <c r="N29" s="63">
        <v>0.0</v>
      </c>
      <c r="O29" s="52">
        <v>0.0</v>
      </c>
      <c r="P29" s="54">
        <f t="shared" si="1"/>
        <v>289</v>
      </c>
      <c r="Q29" s="63">
        <f>IF(L29&gt;0,MIN(L29,150),0)</f>
        <v>89</v>
      </c>
      <c r="R29" s="55">
        <f t="shared" si="2"/>
        <v>200</v>
      </c>
      <c r="S29" s="56"/>
      <c r="T29" s="64" t="s">
        <v>53</v>
      </c>
      <c r="U29" s="1"/>
      <c r="V29" s="1"/>
      <c r="W29" s="1"/>
      <c r="X29" s="1"/>
      <c r="Y29" s="1"/>
      <c r="Z29" s="1"/>
      <c r="AA29" s="1"/>
    </row>
    <row r="30" ht="18.0" hidden="1" customHeight="1">
      <c r="A30" s="1"/>
      <c r="B30" s="49" t="s">
        <v>133</v>
      </c>
      <c r="C30" s="50" t="s">
        <v>68</v>
      </c>
      <c r="D30" s="50" t="s">
        <v>89</v>
      </c>
      <c r="E30" s="50" t="s">
        <v>68</v>
      </c>
      <c r="F30" s="51" t="s">
        <v>134</v>
      </c>
      <c r="G30" s="51"/>
      <c r="H30" s="51" t="s">
        <v>51</v>
      </c>
      <c r="I30" s="51" t="s">
        <v>51</v>
      </c>
      <c r="J30" s="51" t="s">
        <v>135</v>
      </c>
      <c r="K30" s="53">
        <v>0.0</v>
      </c>
      <c r="L30" s="53">
        <v>0.0</v>
      </c>
      <c r="M30" s="53">
        <v>0.0</v>
      </c>
      <c r="N30" s="53">
        <v>0.0</v>
      </c>
      <c r="O30" s="53">
        <v>0.0</v>
      </c>
      <c r="P30" s="53">
        <f t="shared" si="1"/>
        <v>0</v>
      </c>
      <c r="Q30" s="53">
        <f t="shared" ref="Q30:Q34" si="7">IF(K30&gt;0,MIN(K30,150),0)</f>
        <v>0</v>
      </c>
      <c r="R30" s="53">
        <f t="shared" si="2"/>
        <v>0</v>
      </c>
      <c r="S30" s="56"/>
      <c r="T30" s="57" t="s">
        <v>51</v>
      </c>
      <c r="U30" s="1"/>
      <c r="V30" s="1"/>
      <c r="W30" s="1"/>
      <c r="X30" s="1"/>
      <c r="Y30" s="1"/>
      <c r="Z30" s="1"/>
      <c r="AA30" s="1"/>
    </row>
    <row r="31" ht="18.0" hidden="1" customHeight="1">
      <c r="A31" s="1"/>
      <c r="B31" s="61" t="s">
        <v>136</v>
      </c>
      <c r="C31" s="62" t="s">
        <v>72</v>
      </c>
      <c r="D31" s="62" t="s">
        <v>137</v>
      </c>
      <c r="E31" s="62" t="s">
        <v>138</v>
      </c>
      <c r="F31" s="51">
        <v>52.0</v>
      </c>
      <c r="G31" s="51"/>
      <c r="H31" s="51" t="s">
        <v>51</v>
      </c>
      <c r="I31" s="51" t="s">
        <v>51</v>
      </c>
      <c r="J31" s="59" t="s">
        <v>52</v>
      </c>
      <c r="K31" s="52">
        <v>86.0</v>
      </c>
      <c r="L31" s="63">
        <v>0.0</v>
      </c>
      <c r="M31" s="63">
        <v>0.0</v>
      </c>
      <c r="N31" s="63">
        <v>0.0</v>
      </c>
      <c r="O31" s="63">
        <v>0.0</v>
      </c>
      <c r="P31" s="54">
        <f t="shared" si="1"/>
        <v>86</v>
      </c>
      <c r="Q31" s="63">
        <f t="shared" si="7"/>
        <v>86</v>
      </c>
      <c r="R31" s="63">
        <f t="shared" si="2"/>
        <v>0</v>
      </c>
      <c r="S31" s="56"/>
      <c r="T31" s="64" t="s">
        <v>53</v>
      </c>
      <c r="U31" s="1"/>
      <c r="V31" s="1"/>
      <c r="W31" s="1"/>
      <c r="X31" s="1"/>
      <c r="Y31" s="1"/>
      <c r="Z31" s="1"/>
      <c r="AA31" s="1"/>
    </row>
    <row r="32" ht="18.0" hidden="1" customHeight="1">
      <c r="A32" s="1"/>
      <c r="B32" s="61" t="s">
        <v>139</v>
      </c>
      <c r="C32" s="62" t="s">
        <v>140</v>
      </c>
      <c r="D32" s="62" t="s">
        <v>81</v>
      </c>
      <c r="E32" s="62" t="s">
        <v>141</v>
      </c>
      <c r="F32" s="59">
        <v>155.0</v>
      </c>
      <c r="G32" s="59"/>
      <c r="H32" s="59" t="s">
        <v>51</v>
      </c>
      <c r="I32" s="59" t="s">
        <v>51</v>
      </c>
      <c r="J32" s="59" t="s">
        <v>52</v>
      </c>
      <c r="K32" s="52">
        <v>256.0</v>
      </c>
      <c r="L32" s="63">
        <v>0.0</v>
      </c>
      <c r="M32" s="52">
        <v>256.0</v>
      </c>
      <c r="N32" s="63">
        <v>0.0</v>
      </c>
      <c r="O32" s="63">
        <v>0.0</v>
      </c>
      <c r="P32" s="54">
        <f t="shared" si="1"/>
        <v>512</v>
      </c>
      <c r="Q32" s="63">
        <f t="shared" si="7"/>
        <v>150</v>
      </c>
      <c r="R32" s="55">
        <f t="shared" si="2"/>
        <v>362</v>
      </c>
      <c r="S32" s="56"/>
      <c r="T32" s="64" t="s">
        <v>53</v>
      </c>
      <c r="U32" s="1"/>
      <c r="V32" s="1"/>
      <c r="W32" s="1"/>
      <c r="X32" s="1"/>
      <c r="Y32" s="1"/>
      <c r="Z32" s="1"/>
      <c r="AA32" s="1"/>
    </row>
    <row r="33" ht="18.0" hidden="1" customHeight="1">
      <c r="A33" s="1"/>
      <c r="B33" s="61" t="s">
        <v>142</v>
      </c>
      <c r="C33" s="62" t="s">
        <v>68</v>
      </c>
      <c r="D33" s="62" t="s">
        <v>143</v>
      </c>
      <c r="E33" s="62" t="s">
        <v>144</v>
      </c>
      <c r="F33" s="51">
        <v>44.0</v>
      </c>
      <c r="G33" s="51"/>
      <c r="H33" s="51" t="s">
        <v>51</v>
      </c>
      <c r="I33" s="51" t="s">
        <v>51</v>
      </c>
      <c r="J33" s="59" t="s">
        <v>52</v>
      </c>
      <c r="K33" s="52">
        <v>73.0</v>
      </c>
      <c r="L33" s="63">
        <v>0.0</v>
      </c>
      <c r="M33" s="63">
        <v>0.0</v>
      </c>
      <c r="N33" s="63">
        <v>0.0</v>
      </c>
      <c r="O33" s="63">
        <v>0.0</v>
      </c>
      <c r="P33" s="54">
        <f t="shared" si="1"/>
        <v>73</v>
      </c>
      <c r="Q33" s="63">
        <f t="shared" si="7"/>
        <v>73</v>
      </c>
      <c r="R33" s="63">
        <f t="shared" si="2"/>
        <v>0</v>
      </c>
      <c r="S33" s="56"/>
      <c r="T33" s="64" t="s">
        <v>53</v>
      </c>
      <c r="U33" s="1"/>
      <c r="V33" s="1"/>
      <c r="W33" s="1"/>
      <c r="X33" s="1"/>
      <c r="Y33" s="1"/>
      <c r="Z33" s="1"/>
      <c r="AA33" s="1"/>
    </row>
    <row r="34" ht="18.0" hidden="1" customHeight="1">
      <c r="A34" s="1"/>
      <c r="B34" s="49" t="s">
        <v>145</v>
      </c>
      <c r="C34" s="50" t="s">
        <v>48</v>
      </c>
      <c r="D34" s="50" t="s">
        <v>85</v>
      </c>
      <c r="E34" s="50" t="s">
        <v>86</v>
      </c>
      <c r="F34" s="51">
        <v>144.0</v>
      </c>
      <c r="G34" s="51"/>
      <c r="H34" s="51" t="s">
        <v>51</v>
      </c>
      <c r="I34" s="51" t="s">
        <v>51</v>
      </c>
      <c r="J34" s="51" t="s">
        <v>52</v>
      </c>
      <c r="K34" s="52">
        <v>238.0</v>
      </c>
      <c r="L34" s="53">
        <v>0.0</v>
      </c>
      <c r="M34" s="53">
        <v>0.0</v>
      </c>
      <c r="N34" s="53">
        <v>0.0</v>
      </c>
      <c r="O34" s="53">
        <v>0.0</v>
      </c>
      <c r="P34" s="54">
        <f t="shared" si="1"/>
        <v>238</v>
      </c>
      <c r="Q34" s="53">
        <f t="shared" si="7"/>
        <v>150</v>
      </c>
      <c r="R34" s="55">
        <f t="shared" si="2"/>
        <v>88</v>
      </c>
      <c r="S34" s="56"/>
      <c r="T34" s="57" t="s">
        <v>53</v>
      </c>
      <c r="U34" s="1"/>
      <c r="V34" s="1"/>
      <c r="W34" s="1"/>
      <c r="X34" s="1"/>
      <c r="Y34" s="1"/>
      <c r="Z34" s="1"/>
      <c r="AA34" s="1"/>
    </row>
    <row r="35" ht="18.0" customHeight="1">
      <c r="A35" s="1"/>
      <c r="B35" s="61" t="s">
        <v>146</v>
      </c>
      <c r="C35" s="62" t="s">
        <v>147</v>
      </c>
      <c r="D35" s="62" t="s">
        <v>126</v>
      </c>
      <c r="E35" s="62" t="s">
        <v>127</v>
      </c>
      <c r="F35" s="59">
        <v>272.0</v>
      </c>
      <c r="G35" s="59"/>
      <c r="H35" s="59" t="s">
        <v>58</v>
      </c>
      <c r="I35" s="59" t="s">
        <v>128</v>
      </c>
      <c r="J35" s="59" t="s">
        <v>113</v>
      </c>
      <c r="K35" s="52">
        <v>135.0</v>
      </c>
      <c r="L35" s="63">
        <v>124.0</v>
      </c>
      <c r="M35" s="52">
        <v>270.0</v>
      </c>
      <c r="N35" s="63">
        <v>50.0</v>
      </c>
      <c r="O35" s="63">
        <v>200.0</v>
      </c>
      <c r="P35" s="54">
        <f t="shared" si="1"/>
        <v>779</v>
      </c>
      <c r="Q35" s="63">
        <f t="shared" ref="Q35:Q37" si="8">IF(L35&gt;0,MIN(L35,150),0)</f>
        <v>124</v>
      </c>
      <c r="R35" s="55">
        <f t="shared" si="2"/>
        <v>655</v>
      </c>
      <c r="S35" s="56"/>
      <c r="T35" s="64" t="s">
        <v>53</v>
      </c>
      <c r="U35" s="1"/>
      <c r="V35" s="1"/>
      <c r="W35" s="1"/>
      <c r="X35" s="1"/>
      <c r="Y35" s="1"/>
      <c r="Z35" s="1"/>
      <c r="AA35" s="1"/>
    </row>
    <row r="36" ht="18.0" customHeight="1">
      <c r="A36" s="1"/>
      <c r="B36" s="49" t="s">
        <v>148</v>
      </c>
      <c r="C36" s="50" t="s">
        <v>88</v>
      </c>
      <c r="D36" s="50" t="s">
        <v>149</v>
      </c>
      <c r="E36" s="50" t="s">
        <v>78</v>
      </c>
      <c r="F36" s="51">
        <v>505.0</v>
      </c>
      <c r="G36" s="51"/>
      <c r="H36" s="51" t="s">
        <v>58</v>
      </c>
      <c r="I36" s="51" t="s">
        <v>59</v>
      </c>
      <c r="J36" s="58" t="s">
        <v>60</v>
      </c>
      <c r="K36" s="52">
        <v>135.0</v>
      </c>
      <c r="L36" s="52">
        <v>83.0</v>
      </c>
      <c r="M36" s="53">
        <v>0.0</v>
      </c>
      <c r="N36" s="53">
        <v>0.0</v>
      </c>
      <c r="O36" s="52">
        <v>0.0</v>
      </c>
      <c r="P36" s="54">
        <f t="shared" si="1"/>
        <v>218</v>
      </c>
      <c r="Q36" s="53">
        <f t="shared" si="8"/>
        <v>83</v>
      </c>
      <c r="R36" s="55">
        <f t="shared" si="2"/>
        <v>135</v>
      </c>
      <c r="S36" s="56"/>
      <c r="T36" s="57" t="s">
        <v>53</v>
      </c>
      <c r="U36" s="1"/>
      <c r="V36" s="1"/>
      <c r="W36" s="1"/>
      <c r="X36" s="1"/>
      <c r="Y36" s="1"/>
      <c r="Z36" s="1"/>
      <c r="AA36" s="1"/>
    </row>
    <row r="37" ht="18.0" customHeight="1">
      <c r="A37" s="1"/>
      <c r="B37" s="61" t="s">
        <v>150</v>
      </c>
      <c r="C37" s="62" t="s">
        <v>68</v>
      </c>
      <c r="D37" s="62" t="s">
        <v>151</v>
      </c>
      <c r="E37" s="62" t="s">
        <v>152</v>
      </c>
      <c r="F37" s="59">
        <v>3071.0</v>
      </c>
      <c r="G37" s="59"/>
      <c r="H37" s="59" t="s">
        <v>58</v>
      </c>
      <c r="I37" s="59" t="s">
        <v>106</v>
      </c>
      <c r="J37" s="66" t="s">
        <v>100</v>
      </c>
      <c r="K37" s="52">
        <v>220.0</v>
      </c>
      <c r="L37" s="52">
        <v>94.0</v>
      </c>
      <c r="M37" s="63">
        <v>0.0</v>
      </c>
      <c r="N37" s="63">
        <v>0.0</v>
      </c>
      <c r="O37" s="52">
        <v>0.0</v>
      </c>
      <c r="P37" s="54">
        <f t="shared" si="1"/>
        <v>314</v>
      </c>
      <c r="Q37" s="63">
        <f t="shared" si="8"/>
        <v>94</v>
      </c>
      <c r="R37" s="55">
        <f t="shared" si="2"/>
        <v>220</v>
      </c>
      <c r="S37" s="56"/>
      <c r="T37" s="64" t="s">
        <v>153</v>
      </c>
      <c r="U37" s="1"/>
      <c r="V37" s="1"/>
      <c r="W37" s="1"/>
      <c r="X37" s="1"/>
      <c r="Y37" s="1"/>
      <c r="Z37" s="1"/>
      <c r="AA37" s="1"/>
    </row>
    <row r="38" ht="18.0" hidden="1" customHeight="1">
      <c r="A38" s="1"/>
      <c r="B38" s="49" t="s">
        <v>154</v>
      </c>
      <c r="C38" s="50" t="s">
        <v>68</v>
      </c>
      <c r="D38" s="50" t="s">
        <v>73</v>
      </c>
      <c r="E38" s="50" t="s">
        <v>74</v>
      </c>
      <c r="F38" s="51">
        <v>52.0</v>
      </c>
      <c r="G38" s="51"/>
      <c r="H38" s="51" t="s">
        <v>51</v>
      </c>
      <c r="I38" s="51" t="s">
        <v>51</v>
      </c>
      <c r="J38" s="51" t="s">
        <v>52</v>
      </c>
      <c r="K38" s="52">
        <v>86.0</v>
      </c>
      <c r="L38" s="53">
        <v>0.0</v>
      </c>
      <c r="M38" s="52">
        <v>86.0</v>
      </c>
      <c r="N38" s="53">
        <v>0.0</v>
      </c>
      <c r="O38" s="53">
        <v>0.0</v>
      </c>
      <c r="P38" s="54">
        <f t="shared" si="1"/>
        <v>172</v>
      </c>
      <c r="Q38" s="53">
        <f>IF(K38&gt;0,MIN(K38,150),0)</f>
        <v>86</v>
      </c>
      <c r="R38" s="55">
        <f t="shared" si="2"/>
        <v>86</v>
      </c>
      <c r="S38" s="56"/>
      <c r="T38" s="57" t="s">
        <v>53</v>
      </c>
      <c r="U38" s="1"/>
      <c r="V38" s="1"/>
      <c r="W38" s="1"/>
      <c r="X38" s="1"/>
      <c r="Y38" s="1"/>
      <c r="Z38" s="1"/>
      <c r="AA38" s="1"/>
    </row>
    <row r="39" ht="18.0" customHeight="1">
      <c r="A39" s="1"/>
      <c r="B39" s="61" t="s">
        <v>155</v>
      </c>
      <c r="C39" s="62" t="s">
        <v>156</v>
      </c>
      <c r="D39" s="62" t="s">
        <v>56</v>
      </c>
      <c r="E39" s="62" t="s">
        <v>57</v>
      </c>
      <c r="F39" s="59">
        <v>536.0</v>
      </c>
      <c r="G39" s="59"/>
      <c r="H39" s="59" t="s">
        <v>58</v>
      </c>
      <c r="I39" s="59" t="s">
        <v>59</v>
      </c>
      <c r="J39" s="66" t="s">
        <v>60</v>
      </c>
      <c r="K39" s="52">
        <v>135.0</v>
      </c>
      <c r="L39" s="52">
        <v>143.0</v>
      </c>
      <c r="M39" s="63">
        <v>0.0</v>
      </c>
      <c r="N39" s="63">
        <v>0.0</v>
      </c>
      <c r="O39" s="52">
        <v>0.0</v>
      </c>
      <c r="P39" s="54">
        <f t="shared" si="1"/>
        <v>278</v>
      </c>
      <c r="Q39" s="63">
        <f t="shared" ref="Q39:Q40" si="9">IF(L39&gt;0,MIN(L39,150),0)</f>
        <v>143</v>
      </c>
      <c r="R39" s="55">
        <f t="shared" si="2"/>
        <v>135</v>
      </c>
      <c r="S39" s="56"/>
      <c r="T39" s="64" t="s">
        <v>53</v>
      </c>
      <c r="U39" s="1"/>
      <c r="V39" s="1"/>
      <c r="W39" s="1"/>
      <c r="X39" s="1"/>
      <c r="Y39" s="1"/>
      <c r="Z39" s="1"/>
      <c r="AA39" s="1"/>
    </row>
    <row r="40" ht="18.0" customHeight="1">
      <c r="A40" s="1"/>
      <c r="B40" s="49" t="s">
        <v>157</v>
      </c>
      <c r="C40" s="50" t="s">
        <v>72</v>
      </c>
      <c r="D40" s="50" t="s">
        <v>158</v>
      </c>
      <c r="E40" s="76" t="s">
        <v>159</v>
      </c>
      <c r="F40" s="51">
        <v>419.0</v>
      </c>
      <c r="G40" s="51"/>
      <c r="H40" s="51" t="s">
        <v>160</v>
      </c>
      <c r="I40" s="51" t="s">
        <v>107</v>
      </c>
      <c r="J40" s="58" t="s">
        <v>113</v>
      </c>
      <c r="K40" s="52">
        <v>135.0</v>
      </c>
      <c r="L40" s="52">
        <v>137.0</v>
      </c>
      <c r="M40" s="52">
        <v>270.0</v>
      </c>
      <c r="N40" s="52">
        <v>50.0</v>
      </c>
      <c r="O40" s="52">
        <v>200.0</v>
      </c>
      <c r="P40" s="54">
        <f t="shared" si="1"/>
        <v>792</v>
      </c>
      <c r="Q40" s="53">
        <f t="shared" si="9"/>
        <v>137</v>
      </c>
      <c r="R40" s="55">
        <f t="shared" si="2"/>
        <v>655</v>
      </c>
      <c r="S40" s="56"/>
      <c r="T40" s="57" t="s">
        <v>53</v>
      </c>
      <c r="U40" s="1"/>
      <c r="V40" s="1"/>
      <c r="W40" s="1"/>
      <c r="X40" s="1"/>
      <c r="Y40" s="1"/>
      <c r="Z40" s="1"/>
      <c r="AA40" s="1"/>
    </row>
    <row r="41" ht="18.0" hidden="1" customHeight="1">
      <c r="A41" s="1"/>
      <c r="B41" s="61" t="s">
        <v>161</v>
      </c>
      <c r="C41" s="62" t="s">
        <v>84</v>
      </c>
      <c r="D41" s="62" t="s">
        <v>73</v>
      </c>
      <c r="E41" s="62" t="s">
        <v>74</v>
      </c>
      <c r="F41" s="51">
        <v>42.0</v>
      </c>
      <c r="G41" s="51"/>
      <c r="H41" s="51" t="s">
        <v>51</v>
      </c>
      <c r="I41" s="51" t="s">
        <v>51</v>
      </c>
      <c r="J41" s="59" t="s">
        <v>52</v>
      </c>
      <c r="K41" s="52">
        <v>69.0</v>
      </c>
      <c r="L41" s="63">
        <v>0.0</v>
      </c>
      <c r="M41" s="52">
        <v>69.0</v>
      </c>
      <c r="N41" s="63">
        <v>0.0</v>
      </c>
      <c r="O41" s="63">
        <v>0.0</v>
      </c>
      <c r="P41" s="54">
        <f t="shared" si="1"/>
        <v>138</v>
      </c>
      <c r="Q41" s="63">
        <f t="shared" ref="Q41:Q47" si="10">IF(K41&gt;0,MIN(K41,150),0)</f>
        <v>69</v>
      </c>
      <c r="R41" s="55">
        <f t="shared" si="2"/>
        <v>69</v>
      </c>
      <c r="S41" s="56"/>
      <c r="T41" s="64" t="s">
        <v>53</v>
      </c>
      <c r="U41" s="1"/>
      <c r="V41" s="1"/>
      <c r="W41" s="1"/>
      <c r="X41" s="1"/>
      <c r="Y41" s="1"/>
      <c r="Z41" s="1"/>
      <c r="AA41" s="1"/>
    </row>
    <row r="42" ht="18.0" hidden="1" customHeight="1">
      <c r="A42" s="1"/>
      <c r="B42" s="49" t="s">
        <v>162</v>
      </c>
      <c r="C42" s="50" t="s">
        <v>68</v>
      </c>
      <c r="D42" s="50" t="s">
        <v>163</v>
      </c>
      <c r="E42" s="50" t="s">
        <v>138</v>
      </c>
      <c r="F42" s="51">
        <v>53.0</v>
      </c>
      <c r="G42" s="51"/>
      <c r="H42" s="51" t="s">
        <v>51</v>
      </c>
      <c r="I42" s="51" t="s">
        <v>51</v>
      </c>
      <c r="J42" s="51" t="s">
        <v>52</v>
      </c>
      <c r="K42" s="52">
        <v>87.0</v>
      </c>
      <c r="L42" s="53">
        <v>0.0</v>
      </c>
      <c r="M42" s="53">
        <v>0.0</v>
      </c>
      <c r="N42" s="53">
        <v>0.0</v>
      </c>
      <c r="O42" s="53">
        <v>0.0</v>
      </c>
      <c r="P42" s="54">
        <f t="shared" si="1"/>
        <v>87</v>
      </c>
      <c r="Q42" s="53">
        <f t="shared" si="10"/>
        <v>87</v>
      </c>
      <c r="R42" s="53">
        <f t="shared" si="2"/>
        <v>0</v>
      </c>
      <c r="S42" s="56"/>
      <c r="T42" s="57" t="s">
        <v>53</v>
      </c>
      <c r="U42" s="1"/>
      <c r="V42" s="1"/>
      <c r="W42" s="1"/>
      <c r="X42" s="1"/>
      <c r="Y42" s="1"/>
      <c r="Z42" s="1"/>
      <c r="AA42" s="1"/>
    </row>
    <row r="43" ht="18.0" hidden="1" customHeight="1">
      <c r="A43" s="1"/>
      <c r="B43" s="49" t="s">
        <v>164</v>
      </c>
      <c r="C43" s="50" t="s">
        <v>68</v>
      </c>
      <c r="D43" s="50" t="s">
        <v>143</v>
      </c>
      <c r="E43" s="50" t="s">
        <v>144</v>
      </c>
      <c r="F43" s="51">
        <v>43.0</v>
      </c>
      <c r="G43" s="51"/>
      <c r="H43" s="51" t="s">
        <v>51</v>
      </c>
      <c r="I43" s="51" t="s">
        <v>51</v>
      </c>
      <c r="J43" s="51" t="s">
        <v>52</v>
      </c>
      <c r="K43" s="52">
        <v>71.0</v>
      </c>
      <c r="L43" s="53">
        <v>0.0</v>
      </c>
      <c r="M43" s="53">
        <v>0.0</v>
      </c>
      <c r="N43" s="53">
        <v>0.0</v>
      </c>
      <c r="O43" s="53">
        <v>0.0</v>
      </c>
      <c r="P43" s="54">
        <f t="shared" si="1"/>
        <v>71</v>
      </c>
      <c r="Q43" s="53">
        <f t="shared" si="10"/>
        <v>71</v>
      </c>
      <c r="R43" s="53">
        <f t="shared" si="2"/>
        <v>0</v>
      </c>
      <c r="S43" s="56"/>
      <c r="T43" s="57" t="s">
        <v>53</v>
      </c>
      <c r="U43" s="1"/>
      <c r="V43" s="1"/>
      <c r="W43" s="1"/>
      <c r="X43" s="1"/>
      <c r="Y43" s="1"/>
      <c r="Z43" s="1"/>
      <c r="AA43" s="1"/>
    </row>
    <row r="44" ht="18.0" hidden="1" customHeight="1">
      <c r="A44" s="1"/>
      <c r="B44" s="49" t="s">
        <v>165</v>
      </c>
      <c r="C44" s="50" t="s">
        <v>55</v>
      </c>
      <c r="D44" s="50" t="s">
        <v>73</v>
      </c>
      <c r="E44" s="50" t="s">
        <v>74</v>
      </c>
      <c r="F44" s="51">
        <v>88.0</v>
      </c>
      <c r="G44" s="51"/>
      <c r="H44" s="51" t="s">
        <v>51</v>
      </c>
      <c r="I44" s="51" t="s">
        <v>51</v>
      </c>
      <c r="J44" s="51" t="s">
        <v>52</v>
      </c>
      <c r="K44" s="52">
        <v>145.0</v>
      </c>
      <c r="L44" s="53">
        <v>0.0</v>
      </c>
      <c r="M44" s="52">
        <v>145.0</v>
      </c>
      <c r="N44" s="53">
        <v>0.0</v>
      </c>
      <c r="O44" s="53">
        <v>0.0</v>
      </c>
      <c r="P44" s="54">
        <f t="shared" si="1"/>
        <v>290</v>
      </c>
      <c r="Q44" s="53">
        <f t="shared" si="10"/>
        <v>145</v>
      </c>
      <c r="R44" s="55">
        <f t="shared" si="2"/>
        <v>145</v>
      </c>
      <c r="S44" s="56"/>
      <c r="T44" s="57" t="s">
        <v>53</v>
      </c>
      <c r="U44" s="1"/>
      <c r="V44" s="1"/>
      <c r="W44" s="1"/>
      <c r="X44" s="1"/>
      <c r="Y44" s="1"/>
      <c r="Z44" s="1"/>
      <c r="AA44" s="1"/>
    </row>
    <row r="45" ht="18.0" hidden="1" customHeight="1">
      <c r="A45" s="1"/>
      <c r="B45" s="61" t="s">
        <v>166</v>
      </c>
      <c r="C45" s="62" t="s">
        <v>48</v>
      </c>
      <c r="D45" s="62" t="s">
        <v>167</v>
      </c>
      <c r="E45" s="62" t="s">
        <v>168</v>
      </c>
      <c r="F45" s="59">
        <v>89.0</v>
      </c>
      <c r="G45" s="59"/>
      <c r="H45" s="59" t="s">
        <v>51</v>
      </c>
      <c r="I45" s="59" t="s">
        <v>51</v>
      </c>
      <c r="J45" s="59" t="s">
        <v>52</v>
      </c>
      <c r="K45" s="52">
        <v>147.0</v>
      </c>
      <c r="L45" s="63">
        <v>0.0</v>
      </c>
      <c r="M45" s="52">
        <v>147.0</v>
      </c>
      <c r="N45" s="63">
        <v>0.0</v>
      </c>
      <c r="O45" s="63">
        <v>0.0</v>
      </c>
      <c r="P45" s="54">
        <f t="shared" si="1"/>
        <v>294</v>
      </c>
      <c r="Q45" s="63">
        <f t="shared" si="10"/>
        <v>147</v>
      </c>
      <c r="R45" s="55">
        <f t="shared" si="2"/>
        <v>147</v>
      </c>
      <c r="S45" s="56"/>
      <c r="T45" s="64" t="s">
        <v>53</v>
      </c>
      <c r="U45" s="1"/>
      <c r="V45" s="1"/>
      <c r="W45" s="1"/>
      <c r="X45" s="1"/>
      <c r="Y45" s="1"/>
      <c r="Z45" s="1"/>
      <c r="AA45" s="1"/>
    </row>
    <row r="46" ht="18.0" hidden="1" customHeight="1">
      <c r="A46" s="1"/>
      <c r="B46" s="49" t="s">
        <v>169</v>
      </c>
      <c r="C46" s="50" t="s">
        <v>140</v>
      </c>
      <c r="D46" s="50" t="s">
        <v>163</v>
      </c>
      <c r="E46" s="50" t="s">
        <v>138</v>
      </c>
      <c r="F46" s="51">
        <v>39.0</v>
      </c>
      <c r="G46" s="51"/>
      <c r="H46" s="51" t="s">
        <v>51</v>
      </c>
      <c r="I46" s="51" t="s">
        <v>51</v>
      </c>
      <c r="J46" s="51" t="s">
        <v>52</v>
      </c>
      <c r="K46" s="52">
        <v>64.0</v>
      </c>
      <c r="L46" s="53">
        <v>0.0</v>
      </c>
      <c r="M46" s="52">
        <v>64.0</v>
      </c>
      <c r="N46" s="53">
        <v>0.0</v>
      </c>
      <c r="O46" s="53">
        <v>0.0</v>
      </c>
      <c r="P46" s="54">
        <f t="shared" si="1"/>
        <v>128</v>
      </c>
      <c r="Q46" s="53">
        <f t="shared" si="10"/>
        <v>64</v>
      </c>
      <c r="R46" s="55">
        <f t="shared" si="2"/>
        <v>64</v>
      </c>
      <c r="S46" s="56"/>
      <c r="T46" s="57" t="s">
        <v>53</v>
      </c>
      <c r="U46" s="1"/>
      <c r="V46" s="1"/>
      <c r="W46" s="1"/>
      <c r="X46" s="1"/>
      <c r="Y46" s="1"/>
      <c r="Z46" s="1"/>
      <c r="AA46" s="1"/>
    </row>
    <row r="47" ht="21.75" hidden="1" customHeight="1">
      <c r="A47" s="1"/>
      <c r="B47" s="49" t="s">
        <v>170</v>
      </c>
      <c r="C47" s="50" t="s">
        <v>68</v>
      </c>
      <c r="D47" s="50" t="s">
        <v>73</v>
      </c>
      <c r="E47" s="50" t="s">
        <v>74</v>
      </c>
      <c r="F47" s="51">
        <v>48.0</v>
      </c>
      <c r="G47" s="51"/>
      <c r="H47" s="51" t="s">
        <v>51</v>
      </c>
      <c r="I47" s="51" t="s">
        <v>51</v>
      </c>
      <c r="J47" s="51" t="s">
        <v>52</v>
      </c>
      <c r="K47" s="53">
        <v>80.0</v>
      </c>
      <c r="L47" s="53">
        <v>0.0</v>
      </c>
      <c r="M47" s="53">
        <v>0.0</v>
      </c>
      <c r="N47" s="53">
        <v>0.0</v>
      </c>
      <c r="O47" s="53">
        <v>0.0</v>
      </c>
      <c r="P47" s="53">
        <f t="shared" si="1"/>
        <v>80</v>
      </c>
      <c r="Q47" s="53">
        <f t="shared" si="10"/>
        <v>80</v>
      </c>
      <c r="R47" s="53">
        <f t="shared" si="2"/>
        <v>0</v>
      </c>
      <c r="S47" s="56"/>
      <c r="T47" s="57" t="s">
        <v>53</v>
      </c>
      <c r="U47" s="1"/>
      <c r="V47" s="1"/>
      <c r="W47" s="1"/>
      <c r="X47" s="1"/>
      <c r="Y47" s="1"/>
      <c r="Z47" s="1"/>
      <c r="AA47" s="1"/>
    </row>
    <row r="48" ht="18.0" hidden="1" customHeight="1">
      <c r="A48" s="1"/>
      <c r="B48" s="77" t="s">
        <v>171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78">
        <f>SUM(R7:R47)</f>
        <v>10936</v>
      </c>
      <c r="S48" s="79"/>
      <c r="T48" s="80"/>
      <c r="U48" s="1"/>
      <c r="V48" s="1"/>
      <c r="W48" s="1"/>
      <c r="X48" s="1"/>
      <c r="Y48" s="1"/>
      <c r="Z48" s="1"/>
      <c r="AA48" s="1"/>
    </row>
    <row r="49" ht="21.75" hidden="1" customHeight="1">
      <c r="A49" s="1"/>
      <c r="B49" s="24" t="s">
        <v>172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81"/>
      <c r="R49" s="82">
        <f>ROUND(R48*0.15,0)</f>
        <v>1640</v>
      </c>
      <c r="S49" s="83"/>
      <c r="T49" s="84"/>
      <c r="U49" s="1"/>
      <c r="V49" s="1"/>
      <c r="W49" s="1"/>
      <c r="X49" s="1"/>
      <c r="Y49" s="1"/>
      <c r="Z49" s="1"/>
      <c r="AA49" s="1"/>
    </row>
    <row r="50" ht="15.75" hidden="1" customHeight="1">
      <c r="A50" s="1"/>
      <c r="B50" s="85" t="s">
        <v>173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78">
        <f>R48+R49</f>
        <v>12576</v>
      </c>
      <c r="S50" s="79"/>
      <c r="T50" s="80"/>
      <c r="U50" s="1"/>
      <c r="V50" s="1"/>
      <c r="W50" s="1"/>
      <c r="X50" s="1"/>
      <c r="Y50" s="1"/>
      <c r="Z50" s="1"/>
      <c r="AA50" s="1"/>
    </row>
    <row r="51" ht="51.75" customHeight="1">
      <c r="A51" s="1"/>
      <c r="B51" s="1"/>
      <c r="S51" s="1"/>
      <c r="T51" s="1"/>
      <c r="U51" s="1"/>
      <c r="V51" s="1"/>
      <c r="W51" s="1"/>
      <c r="X51" s="1"/>
      <c r="Y51" s="1"/>
      <c r="Z51" s="1"/>
      <c r="AA51" s="1"/>
    </row>
    <row r="52" ht="108.0" customHeight="1">
      <c r="A52" s="1"/>
      <c r="C52" s="87" t="s">
        <v>174</v>
      </c>
      <c r="D52" s="88"/>
      <c r="E52" s="89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3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3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3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3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3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3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3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3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3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3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3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3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3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3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3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3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3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3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3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3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3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3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3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3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3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3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3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3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3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3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3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3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3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3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3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3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3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3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3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3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3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3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3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3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3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3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3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3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3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3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3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3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3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3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3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3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3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3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3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3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3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3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3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3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3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3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3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3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3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3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3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3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3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3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3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3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3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3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3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3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3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3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3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3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3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3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3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3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3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3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3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3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3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3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3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3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3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3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3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3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3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3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3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3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3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3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3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3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3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3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3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3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3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3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3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3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3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3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3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3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3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3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3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3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3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3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3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3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3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3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3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3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3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3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3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3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3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3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3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3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3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3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3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3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3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3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3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3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3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3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3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3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3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3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3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3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3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3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3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3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3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3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3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3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3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3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3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3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3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3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3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3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3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3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3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3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3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3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3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3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3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3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3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3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3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3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3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3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3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3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3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3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3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3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3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3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B$6:$T$50">
    <filterColumn colId="8">
      <filters>
        <filter val="Cross-country flight"/>
        <filter val="Flight"/>
        <filter val="Short-haul flight"/>
      </filters>
    </filterColumn>
  </autoFilter>
  <mergeCells count="8">
    <mergeCell ref="B2:R2"/>
    <mergeCell ref="B3:R3"/>
    <mergeCell ref="B4:R4"/>
    <mergeCell ref="K5:N5"/>
    <mergeCell ref="B48:Q48"/>
    <mergeCell ref="B49:Q49"/>
    <mergeCell ref="B51:R51"/>
    <mergeCell ref="C52:E5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3" width="18.0"/>
    <col customWidth="1" min="4" max="4" width="14.0"/>
    <col customWidth="1" min="5" max="7" width="10.0"/>
    <col customWidth="1" min="8" max="10" width="13.0"/>
    <col customWidth="1" min="11" max="12" width="12.0"/>
    <col customWidth="1" min="13" max="13" width="14.0"/>
    <col customWidth="1" min="14" max="14" width="11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35" t="s">
        <v>175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36" t="s">
        <v>176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.0" customHeight="1">
      <c r="A4" s="1"/>
      <c r="B4" s="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91"/>
      <c r="C5" s="91"/>
      <c r="D5" s="92" t="s">
        <v>177</v>
      </c>
      <c r="E5" s="25"/>
      <c r="F5" s="25"/>
      <c r="G5" s="25"/>
      <c r="H5" s="26"/>
      <c r="I5" s="93" t="s">
        <v>178</v>
      </c>
      <c r="J5" s="91"/>
      <c r="K5" s="94" t="s">
        <v>179</v>
      </c>
      <c r="L5" s="26"/>
      <c r="M5" s="9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6.0" customHeight="1">
      <c r="A6" s="1"/>
      <c r="B6" s="42" t="s">
        <v>29</v>
      </c>
      <c r="C6" s="42" t="s">
        <v>37</v>
      </c>
      <c r="D6" s="46" t="s">
        <v>180</v>
      </c>
      <c r="E6" s="46" t="s">
        <v>181</v>
      </c>
      <c r="F6" s="46" t="s">
        <v>182</v>
      </c>
      <c r="G6" s="46" t="s">
        <v>183</v>
      </c>
      <c r="H6" s="46" t="s">
        <v>184</v>
      </c>
      <c r="I6" s="95" t="s">
        <v>185</v>
      </c>
      <c r="J6" s="42" t="s">
        <v>186</v>
      </c>
      <c r="K6" s="42" t="s">
        <v>44</v>
      </c>
      <c r="L6" s="42" t="s">
        <v>187</v>
      </c>
      <c r="M6" s="46" t="s">
        <v>45</v>
      </c>
      <c r="N6" s="48" t="s">
        <v>46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61" t="s">
        <v>150</v>
      </c>
      <c r="C7" s="96" t="s">
        <v>100</v>
      </c>
      <c r="D7" s="97">
        <f>'Travel Detail'!P7</f>
        <v>234</v>
      </c>
      <c r="E7" s="98">
        <v>750.0</v>
      </c>
      <c r="F7" s="98">
        <v>100.0</v>
      </c>
      <c r="G7" s="98">
        <v>100.0</v>
      </c>
      <c r="H7" s="99">
        <f t="shared" ref="H7:H47" si="1">D7+E7+F7+G7</f>
        <v>1184</v>
      </c>
      <c r="I7" s="100">
        <v>250.0</v>
      </c>
      <c r="J7" s="101">
        <f t="shared" ref="J7:J47" si="2">H7+I7</f>
        <v>1434</v>
      </c>
      <c r="K7" s="97">
        <f>'Travel Detail'!Q7</f>
        <v>150</v>
      </c>
      <c r="L7" s="97">
        <v>100.0</v>
      </c>
      <c r="M7" s="55">
        <f t="shared" ref="M7:M47" si="3">MAX(0,H7-K7-L7)</f>
        <v>934</v>
      </c>
      <c r="N7" s="64" t="s">
        <v>153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49" t="s">
        <v>102</v>
      </c>
      <c r="C8" s="102" t="s">
        <v>100</v>
      </c>
      <c r="D8" s="103">
        <f>'Travel Detail'!P8</f>
        <v>828</v>
      </c>
      <c r="E8" s="104">
        <v>750.0</v>
      </c>
      <c r="F8" s="104">
        <v>100.0</v>
      </c>
      <c r="G8" s="104">
        <v>100.0</v>
      </c>
      <c r="H8" s="99">
        <f t="shared" si="1"/>
        <v>1778</v>
      </c>
      <c r="I8" s="100">
        <v>250.0</v>
      </c>
      <c r="J8" s="105">
        <f t="shared" si="2"/>
        <v>2028</v>
      </c>
      <c r="K8" s="103">
        <f>'Travel Detail'!Q8</f>
        <v>150</v>
      </c>
      <c r="L8" s="103">
        <v>100.0</v>
      </c>
      <c r="M8" s="55">
        <f t="shared" si="3"/>
        <v>1528</v>
      </c>
      <c r="N8" s="57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61" t="s">
        <v>96</v>
      </c>
      <c r="C9" s="96" t="s">
        <v>100</v>
      </c>
      <c r="D9" s="97">
        <f>'Travel Detail'!P9</f>
        <v>868</v>
      </c>
      <c r="E9" s="98">
        <v>750.0</v>
      </c>
      <c r="F9" s="98">
        <v>100.0</v>
      </c>
      <c r="G9" s="98">
        <v>100.0</v>
      </c>
      <c r="H9" s="99">
        <f t="shared" si="1"/>
        <v>1818</v>
      </c>
      <c r="I9" s="100">
        <v>250.0</v>
      </c>
      <c r="J9" s="101">
        <f t="shared" si="2"/>
        <v>2068</v>
      </c>
      <c r="K9" s="97">
        <f>'Travel Detail'!Q9</f>
        <v>0</v>
      </c>
      <c r="L9" s="97">
        <v>100.0</v>
      </c>
      <c r="M9" s="55">
        <f t="shared" si="3"/>
        <v>1718</v>
      </c>
      <c r="N9" s="64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49" t="s">
        <v>120</v>
      </c>
      <c r="C10" s="102" t="s">
        <v>100</v>
      </c>
      <c r="D10" s="103">
        <f>'Travel Detail'!P10</f>
        <v>257</v>
      </c>
      <c r="E10" s="104">
        <v>750.0</v>
      </c>
      <c r="F10" s="104">
        <v>100.0</v>
      </c>
      <c r="G10" s="104">
        <v>100.0</v>
      </c>
      <c r="H10" s="99">
        <f t="shared" si="1"/>
        <v>1207</v>
      </c>
      <c r="I10" s="100">
        <v>250.0</v>
      </c>
      <c r="J10" s="105">
        <f t="shared" si="2"/>
        <v>1457</v>
      </c>
      <c r="K10" s="103">
        <f>'Travel Detail'!Q10</f>
        <v>150</v>
      </c>
      <c r="L10" s="103">
        <v>100.0</v>
      </c>
      <c r="M10" s="55">
        <f t="shared" si="3"/>
        <v>957</v>
      </c>
      <c r="N10" s="57" t="s">
        <v>53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61" t="s">
        <v>131</v>
      </c>
      <c r="C11" s="96" t="s">
        <v>100</v>
      </c>
      <c r="D11" s="97">
        <f>'Travel Detail'!P11</f>
        <v>129</v>
      </c>
      <c r="E11" s="98">
        <v>750.0</v>
      </c>
      <c r="F11" s="98">
        <v>100.0</v>
      </c>
      <c r="G11" s="98">
        <v>100.0</v>
      </c>
      <c r="H11" s="99">
        <f t="shared" si="1"/>
        <v>1079</v>
      </c>
      <c r="I11" s="100">
        <v>250.0</v>
      </c>
      <c r="J11" s="101">
        <f t="shared" si="2"/>
        <v>1329</v>
      </c>
      <c r="K11" s="97">
        <f>'Travel Detail'!Q11</f>
        <v>129</v>
      </c>
      <c r="L11" s="97">
        <v>100.0</v>
      </c>
      <c r="M11" s="55">
        <f t="shared" si="3"/>
        <v>850</v>
      </c>
      <c r="N11" s="64" t="s">
        <v>53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49" t="s">
        <v>61</v>
      </c>
      <c r="C12" s="102" t="s">
        <v>66</v>
      </c>
      <c r="D12" s="103">
        <f>'Travel Detail'!P12</f>
        <v>218</v>
      </c>
      <c r="E12" s="104">
        <v>750.0</v>
      </c>
      <c r="F12" s="104">
        <v>100.0</v>
      </c>
      <c r="G12" s="104">
        <v>100.0</v>
      </c>
      <c r="H12" s="99">
        <f t="shared" si="1"/>
        <v>1168</v>
      </c>
      <c r="I12" s="100">
        <v>0.0</v>
      </c>
      <c r="J12" s="105">
        <f t="shared" si="2"/>
        <v>1168</v>
      </c>
      <c r="K12" s="103">
        <f>'Travel Detail'!Q12</f>
        <v>150</v>
      </c>
      <c r="L12" s="103">
        <v>100.0</v>
      </c>
      <c r="M12" s="55">
        <f t="shared" si="3"/>
        <v>918</v>
      </c>
      <c r="N12" s="57" t="s">
        <v>51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61" t="s">
        <v>155</v>
      </c>
      <c r="C13" s="96" t="s">
        <v>60</v>
      </c>
      <c r="D13" s="97">
        <f>'Travel Detail'!P13</f>
        <v>229</v>
      </c>
      <c r="E13" s="98">
        <v>750.0</v>
      </c>
      <c r="F13" s="98">
        <v>100.0</v>
      </c>
      <c r="G13" s="98">
        <v>100.0</v>
      </c>
      <c r="H13" s="99">
        <f t="shared" si="1"/>
        <v>1179</v>
      </c>
      <c r="I13" s="100">
        <v>150.0</v>
      </c>
      <c r="J13" s="101">
        <f t="shared" si="2"/>
        <v>1329</v>
      </c>
      <c r="K13" s="97">
        <f>'Travel Detail'!Q13</f>
        <v>94</v>
      </c>
      <c r="L13" s="97">
        <v>100.0</v>
      </c>
      <c r="M13" s="55">
        <f t="shared" si="3"/>
        <v>985</v>
      </c>
      <c r="N13" s="64" t="s">
        <v>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49" t="s">
        <v>54</v>
      </c>
      <c r="C14" s="102" t="s">
        <v>60</v>
      </c>
      <c r="D14" s="103">
        <f>'Travel Detail'!P14</f>
        <v>145</v>
      </c>
      <c r="E14" s="104">
        <v>750.0</v>
      </c>
      <c r="F14" s="104">
        <v>100.0</v>
      </c>
      <c r="G14" s="104">
        <v>100.0</v>
      </c>
      <c r="H14" s="99">
        <f t="shared" si="1"/>
        <v>1095</v>
      </c>
      <c r="I14" s="100">
        <v>150.0</v>
      </c>
      <c r="J14" s="105">
        <f t="shared" si="2"/>
        <v>1245</v>
      </c>
      <c r="K14" s="103">
        <f>'Travel Detail'!Q14</f>
        <v>145</v>
      </c>
      <c r="L14" s="103">
        <v>100.0</v>
      </c>
      <c r="M14" s="55">
        <f t="shared" si="3"/>
        <v>850</v>
      </c>
      <c r="N14" s="57" t="s">
        <v>53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61" t="s">
        <v>76</v>
      </c>
      <c r="C15" s="96" t="s">
        <v>60</v>
      </c>
      <c r="D15" s="97">
        <f>'Travel Detail'!P15</f>
        <v>548</v>
      </c>
      <c r="E15" s="98">
        <v>750.0</v>
      </c>
      <c r="F15" s="98">
        <v>100.0</v>
      </c>
      <c r="G15" s="98">
        <v>100.0</v>
      </c>
      <c r="H15" s="99">
        <f t="shared" si="1"/>
        <v>1498</v>
      </c>
      <c r="I15" s="100">
        <v>150.0</v>
      </c>
      <c r="J15" s="101">
        <f t="shared" si="2"/>
        <v>1648</v>
      </c>
      <c r="K15" s="97">
        <f>'Travel Detail'!Q15</f>
        <v>150</v>
      </c>
      <c r="L15" s="97">
        <v>100.0</v>
      </c>
      <c r="M15" s="55">
        <f t="shared" si="3"/>
        <v>1248</v>
      </c>
      <c r="N15" s="64" t="s">
        <v>53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49" t="s">
        <v>148</v>
      </c>
      <c r="C16" s="102" t="s">
        <v>60</v>
      </c>
      <c r="D16" s="103">
        <f>'Travel Detail'!P16</f>
        <v>438</v>
      </c>
      <c r="E16" s="104">
        <v>750.0</v>
      </c>
      <c r="F16" s="104">
        <v>100.0</v>
      </c>
      <c r="G16" s="104">
        <v>100.0</v>
      </c>
      <c r="H16" s="99">
        <f t="shared" si="1"/>
        <v>1388</v>
      </c>
      <c r="I16" s="100">
        <v>150.0</v>
      </c>
      <c r="J16" s="105">
        <f t="shared" si="2"/>
        <v>1538</v>
      </c>
      <c r="K16" s="103">
        <f>'Travel Detail'!Q16</f>
        <v>150</v>
      </c>
      <c r="L16" s="103">
        <v>100.0</v>
      </c>
      <c r="M16" s="55">
        <f t="shared" si="3"/>
        <v>1138</v>
      </c>
      <c r="N16" s="57" t="s">
        <v>53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61" t="s">
        <v>108</v>
      </c>
      <c r="C17" s="96" t="s">
        <v>113</v>
      </c>
      <c r="D17" s="97">
        <f>'Travel Detail'!P17</f>
        <v>25</v>
      </c>
      <c r="E17" s="98">
        <v>750.0</v>
      </c>
      <c r="F17" s="98">
        <v>100.0</v>
      </c>
      <c r="G17" s="98">
        <v>100.0</v>
      </c>
      <c r="H17" s="99">
        <f t="shared" si="1"/>
        <v>975</v>
      </c>
      <c r="I17" s="100">
        <v>150.0</v>
      </c>
      <c r="J17" s="101">
        <f t="shared" si="2"/>
        <v>1125</v>
      </c>
      <c r="K17" s="97">
        <f>'Travel Detail'!Q17</f>
        <v>25</v>
      </c>
      <c r="L17" s="97">
        <v>100.0</v>
      </c>
      <c r="M17" s="55">
        <f t="shared" si="3"/>
        <v>850</v>
      </c>
      <c r="N17" s="64" t="s">
        <v>53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49" t="s">
        <v>157</v>
      </c>
      <c r="C18" s="102" t="s">
        <v>113</v>
      </c>
      <c r="D18" s="103">
        <f>'Travel Detail'!P18</f>
        <v>472</v>
      </c>
      <c r="E18" s="104">
        <v>750.0</v>
      </c>
      <c r="F18" s="104">
        <v>100.0</v>
      </c>
      <c r="G18" s="104">
        <v>100.0</v>
      </c>
      <c r="H18" s="99">
        <f t="shared" si="1"/>
        <v>1422</v>
      </c>
      <c r="I18" s="100">
        <v>150.0</v>
      </c>
      <c r="J18" s="105">
        <f t="shared" si="2"/>
        <v>1572</v>
      </c>
      <c r="K18" s="103">
        <f>'Travel Detail'!Q18</f>
        <v>150</v>
      </c>
      <c r="L18" s="103">
        <v>100.0</v>
      </c>
      <c r="M18" s="55">
        <f t="shared" si="3"/>
        <v>1172</v>
      </c>
      <c r="N18" s="57" t="s">
        <v>53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61" t="s">
        <v>146</v>
      </c>
      <c r="C19" s="62" t="s">
        <v>113</v>
      </c>
      <c r="D19" s="97">
        <f>'Travel Detail'!P19</f>
        <v>190</v>
      </c>
      <c r="E19" s="98">
        <v>750.0</v>
      </c>
      <c r="F19" s="98">
        <v>100.0</v>
      </c>
      <c r="G19" s="98">
        <v>100.0</v>
      </c>
      <c r="H19" s="99">
        <f t="shared" si="1"/>
        <v>1140</v>
      </c>
      <c r="I19" s="100">
        <v>150.0</v>
      </c>
      <c r="J19" s="101">
        <f t="shared" si="2"/>
        <v>1290</v>
      </c>
      <c r="K19" s="97">
        <f>'Travel Detail'!Q19</f>
        <v>150</v>
      </c>
      <c r="L19" s="97">
        <v>100.0</v>
      </c>
      <c r="M19" s="55">
        <f t="shared" si="3"/>
        <v>890</v>
      </c>
      <c r="N19" s="64" t="s">
        <v>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49" t="s">
        <v>125</v>
      </c>
      <c r="C20" s="50" t="s">
        <v>113</v>
      </c>
      <c r="D20" s="103">
        <f>'Travel Detail'!P20</f>
        <v>1225</v>
      </c>
      <c r="E20" s="104">
        <v>750.0</v>
      </c>
      <c r="F20" s="104">
        <v>100.0</v>
      </c>
      <c r="G20" s="104">
        <v>100.0</v>
      </c>
      <c r="H20" s="99">
        <f t="shared" si="1"/>
        <v>2175</v>
      </c>
      <c r="I20" s="100">
        <v>150.0</v>
      </c>
      <c r="J20" s="105">
        <f t="shared" si="2"/>
        <v>2325</v>
      </c>
      <c r="K20" s="103">
        <f>'Travel Detail'!Q20</f>
        <v>150</v>
      </c>
      <c r="L20" s="103">
        <v>100.0</v>
      </c>
      <c r="M20" s="55">
        <f t="shared" si="3"/>
        <v>1925</v>
      </c>
      <c r="N20" s="57" t="s">
        <v>53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61" t="s">
        <v>129</v>
      </c>
      <c r="C21" s="62" t="s">
        <v>52</v>
      </c>
      <c r="D21" s="97">
        <f>'Travel Detail'!P21</f>
        <v>144</v>
      </c>
      <c r="E21" s="98">
        <v>750.0</v>
      </c>
      <c r="F21" s="98">
        <v>100.0</v>
      </c>
      <c r="G21" s="98">
        <v>100.0</v>
      </c>
      <c r="H21" s="99">
        <f t="shared" si="1"/>
        <v>1094</v>
      </c>
      <c r="I21" s="100">
        <v>75.0</v>
      </c>
      <c r="J21" s="101">
        <f t="shared" si="2"/>
        <v>1169</v>
      </c>
      <c r="K21" s="97">
        <f>'Travel Detail'!Q21</f>
        <v>144</v>
      </c>
      <c r="L21" s="97">
        <v>100.0</v>
      </c>
      <c r="M21" s="55">
        <f t="shared" si="3"/>
        <v>850</v>
      </c>
      <c r="N21" s="64" t="s">
        <v>53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49" t="s">
        <v>114</v>
      </c>
      <c r="C22" s="50" t="s">
        <v>113</v>
      </c>
      <c r="D22" s="103">
        <f>'Travel Detail'!P22</f>
        <v>282</v>
      </c>
      <c r="E22" s="104">
        <v>750.0</v>
      </c>
      <c r="F22" s="104">
        <v>100.0</v>
      </c>
      <c r="G22" s="104">
        <v>100.0</v>
      </c>
      <c r="H22" s="99">
        <f t="shared" si="1"/>
        <v>1232</v>
      </c>
      <c r="I22" s="100">
        <v>150.0</v>
      </c>
      <c r="J22" s="105">
        <f t="shared" si="2"/>
        <v>1382</v>
      </c>
      <c r="K22" s="103">
        <f>'Travel Detail'!Q22</f>
        <v>62</v>
      </c>
      <c r="L22" s="103">
        <v>100.0</v>
      </c>
      <c r="M22" s="55">
        <f t="shared" si="3"/>
        <v>1070</v>
      </c>
      <c r="N22" s="57" t="s">
        <v>53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61" t="s">
        <v>80</v>
      </c>
      <c r="C23" s="62" t="s">
        <v>52</v>
      </c>
      <c r="D23" s="97">
        <f>'Travel Detail'!P23</f>
        <v>817</v>
      </c>
      <c r="E23" s="98">
        <v>750.0</v>
      </c>
      <c r="F23" s="98">
        <v>100.0</v>
      </c>
      <c r="G23" s="98">
        <v>100.0</v>
      </c>
      <c r="H23" s="99">
        <f t="shared" si="1"/>
        <v>1767</v>
      </c>
      <c r="I23" s="100">
        <v>75.0</v>
      </c>
      <c r="J23" s="101">
        <f t="shared" si="2"/>
        <v>1842</v>
      </c>
      <c r="K23" s="97">
        <f>'Travel Detail'!Q23</f>
        <v>150</v>
      </c>
      <c r="L23" s="97">
        <v>100.0</v>
      </c>
      <c r="M23" s="55">
        <f t="shared" si="3"/>
        <v>1517</v>
      </c>
      <c r="N23" s="64" t="s">
        <v>53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49" t="s">
        <v>67</v>
      </c>
      <c r="C24" s="50" t="s">
        <v>52</v>
      </c>
      <c r="D24" s="103">
        <f>'Travel Detail'!P24</f>
        <v>721</v>
      </c>
      <c r="E24" s="104">
        <v>750.0</v>
      </c>
      <c r="F24" s="104">
        <v>100.0</v>
      </c>
      <c r="G24" s="104">
        <v>100.0</v>
      </c>
      <c r="H24" s="99">
        <f t="shared" si="1"/>
        <v>1671</v>
      </c>
      <c r="I24" s="100">
        <v>75.0</v>
      </c>
      <c r="J24" s="105">
        <f t="shared" si="2"/>
        <v>1746</v>
      </c>
      <c r="K24" s="103">
        <f>'Travel Detail'!Q24</f>
        <v>66</v>
      </c>
      <c r="L24" s="103">
        <v>100.0</v>
      </c>
      <c r="M24" s="55">
        <f t="shared" si="3"/>
        <v>1505</v>
      </c>
      <c r="N24" s="57" t="s">
        <v>53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61" t="s">
        <v>139</v>
      </c>
      <c r="C25" s="62" t="s">
        <v>52</v>
      </c>
      <c r="D25" s="97">
        <f>'Travel Detail'!P25</f>
        <v>1218</v>
      </c>
      <c r="E25" s="98">
        <v>750.0</v>
      </c>
      <c r="F25" s="98">
        <v>100.0</v>
      </c>
      <c r="G25" s="98">
        <v>100.0</v>
      </c>
      <c r="H25" s="99">
        <f t="shared" si="1"/>
        <v>2168</v>
      </c>
      <c r="I25" s="100">
        <v>75.0</v>
      </c>
      <c r="J25" s="101">
        <f t="shared" si="2"/>
        <v>2243</v>
      </c>
      <c r="K25" s="97">
        <f>'Travel Detail'!Q25</f>
        <v>150</v>
      </c>
      <c r="L25" s="97">
        <v>100.0</v>
      </c>
      <c r="M25" s="55">
        <f t="shared" si="3"/>
        <v>1918</v>
      </c>
      <c r="N25" s="64" t="s">
        <v>53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49" t="s">
        <v>145</v>
      </c>
      <c r="C26" s="50" t="s">
        <v>52</v>
      </c>
      <c r="D26" s="103">
        <f>'Travel Detail'!P26</f>
        <v>221</v>
      </c>
      <c r="E26" s="104">
        <v>750.0</v>
      </c>
      <c r="F26" s="104">
        <v>100.0</v>
      </c>
      <c r="G26" s="104">
        <v>100.0</v>
      </c>
      <c r="H26" s="99">
        <f t="shared" si="1"/>
        <v>1171</v>
      </c>
      <c r="I26" s="100">
        <v>75.0</v>
      </c>
      <c r="J26" s="105">
        <f t="shared" si="2"/>
        <v>1246</v>
      </c>
      <c r="K26" s="103">
        <f>'Travel Detail'!Q26</f>
        <v>150</v>
      </c>
      <c r="L26" s="103">
        <v>100.0</v>
      </c>
      <c r="M26" s="55">
        <f t="shared" si="3"/>
        <v>921</v>
      </c>
      <c r="N26" s="57" t="s">
        <v>53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61" t="s">
        <v>90</v>
      </c>
      <c r="C27" s="62" t="s">
        <v>52</v>
      </c>
      <c r="D27" s="97">
        <f>'Travel Detail'!P27</f>
        <v>771</v>
      </c>
      <c r="E27" s="98">
        <v>750.0</v>
      </c>
      <c r="F27" s="98">
        <v>100.0</v>
      </c>
      <c r="G27" s="98">
        <v>100.0</v>
      </c>
      <c r="H27" s="99">
        <f t="shared" si="1"/>
        <v>1721</v>
      </c>
      <c r="I27" s="100">
        <v>75.0</v>
      </c>
      <c r="J27" s="101">
        <f t="shared" si="2"/>
        <v>1796</v>
      </c>
      <c r="K27" s="97">
        <f>'Travel Detail'!Q27</f>
        <v>116</v>
      </c>
      <c r="L27" s="97">
        <v>100.0</v>
      </c>
      <c r="M27" s="55">
        <f t="shared" si="3"/>
        <v>1505</v>
      </c>
      <c r="N27" s="64" t="s">
        <v>53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49" t="s">
        <v>47</v>
      </c>
      <c r="C28" s="50" t="s">
        <v>52</v>
      </c>
      <c r="D28" s="103">
        <f>'Travel Detail'!P28</f>
        <v>726</v>
      </c>
      <c r="E28" s="104">
        <v>750.0</v>
      </c>
      <c r="F28" s="104">
        <v>100.0</v>
      </c>
      <c r="G28" s="104">
        <v>100.0</v>
      </c>
      <c r="H28" s="99">
        <f t="shared" si="1"/>
        <v>1676</v>
      </c>
      <c r="I28" s="100">
        <v>75.0</v>
      </c>
      <c r="J28" s="105">
        <f t="shared" si="2"/>
        <v>1751</v>
      </c>
      <c r="K28" s="103">
        <f>'Travel Detail'!Q28</f>
        <v>150</v>
      </c>
      <c r="L28" s="103">
        <v>100.0</v>
      </c>
      <c r="M28" s="55">
        <f t="shared" si="3"/>
        <v>1426</v>
      </c>
      <c r="N28" s="57" t="s">
        <v>53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61" t="s">
        <v>124</v>
      </c>
      <c r="C29" s="62" t="s">
        <v>52</v>
      </c>
      <c r="D29" s="97">
        <f>'Travel Detail'!P29</f>
        <v>289</v>
      </c>
      <c r="E29" s="98">
        <v>750.0</v>
      </c>
      <c r="F29" s="98">
        <v>100.0</v>
      </c>
      <c r="G29" s="98">
        <v>100.0</v>
      </c>
      <c r="H29" s="99">
        <f t="shared" si="1"/>
        <v>1239</v>
      </c>
      <c r="I29" s="100">
        <v>75.0</v>
      </c>
      <c r="J29" s="101">
        <f t="shared" si="2"/>
        <v>1314</v>
      </c>
      <c r="K29" s="97">
        <f>'Travel Detail'!Q29</f>
        <v>89</v>
      </c>
      <c r="L29" s="97">
        <v>100.0</v>
      </c>
      <c r="M29" s="55">
        <f t="shared" si="3"/>
        <v>1050</v>
      </c>
      <c r="N29" s="64" t="s">
        <v>53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83</v>
      </c>
      <c r="C30" s="50" t="s">
        <v>52</v>
      </c>
      <c r="D30" s="103">
        <f>'Travel Detail'!P30</f>
        <v>0</v>
      </c>
      <c r="E30" s="104">
        <v>750.0</v>
      </c>
      <c r="F30" s="104">
        <v>100.0</v>
      </c>
      <c r="G30" s="104">
        <v>100.0</v>
      </c>
      <c r="H30" s="99">
        <f t="shared" si="1"/>
        <v>950</v>
      </c>
      <c r="I30" s="100">
        <v>75.0</v>
      </c>
      <c r="J30" s="105">
        <f t="shared" si="2"/>
        <v>1025</v>
      </c>
      <c r="K30" s="103">
        <f>'Travel Detail'!Q30</f>
        <v>0</v>
      </c>
      <c r="L30" s="103">
        <v>100.0</v>
      </c>
      <c r="M30" s="55">
        <f t="shared" si="3"/>
        <v>850</v>
      </c>
      <c r="N30" s="57" t="s">
        <v>53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61" t="s">
        <v>75</v>
      </c>
      <c r="C31" s="62" t="s">
        <v>52</v>
      </c>
      <c r="D31" s="97">
        <f>'Travel Detail'!P31</f>
        <v>86</v>
      </c>
      <c r="E31" s="98">
        <v>750.0</v>
      </c>
      <c r="F31" s="98">
        <v>100.0</v>
      </c>
      <c r="G31" s="98">
        <v>100.0</v>
      </c>
      <c r="H31" s="99">
        <f t="shared" si="1"/>
        <v>1036</v>
      </c>
      <c r="I31" s="100">
        <v>75.0</v>
      </c>
      <c r="J31" s="101">
        <f t="shared" si="2"/>
        <v>1111</v>
      </c>
      <c r="K31" s="97">
        <f>'Travel Detail'!Q31</f>
        <v>86</v>
      </c>
      <c r="L31" s="97">
        <v>100.0</v>
      </c>
      <c r="M31" s="55">
        <f t="shared" si="3"/>
        <v>850</v>
      </c>
      <c r="N31" s="64" t="s">
        <v>53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49" t="s">
        <v>92</v>
      </c>
      <c r="C32" s="50" t="s">
        <v>52</v>
      </c>
      <c r="D32" s="103">
        <f>'Travel Detail'!P32</f>
        <v>512</v>
      </c>
      <c r="E32" s="104">
        <v>750.0</v>
      </c>
      <c r="F32" s="104">
        <v>100.0</v>
      </c>
      <c r="G32" s="104">
        <v>100.0</v>
      </c>
      <c r="H32" s="99">
        <f t="shared" si="1"/>
        <v>1462</v>
      </c>
      <c r="I32" s="100">
        <v>75.0</v>
      </c>
      <c r="J32" s="105">
        <f t="shared" si="2"/>
        <v>1537</v>
      </c>
      <c r="K32" s="103">
        <f>'Travel Detail'!Q32</f>
        <v>150</v>
      </c>
      <c r="L32" s="103">
        <v>100.0</v>
      </c>
      <c r="M32" s="55">
        <f t="shared" si="3"/>
        <v>1212</v>
      </c>
      <c r="N32" s="57" t="s">
        <v>53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61" t="s">
        <v>166</v>
      </c>
      <c r="C33" s="62" t="s">
        <v>52</v>
      </c>
      <c r="D33" s="97">
        <f>'Travel Detail'!P33</f>
        <v>73</v>
      </c>
      <c r="E33" s="98">
        <v>750.0</v>
      </c>
      <c r="F33" s="98">
        <v>100.0</v>
      </c>
      <c r="G33" s="98">
        <v>100.0</v>
      </c>
      <c r="H33" s="99">
        <f t="shared" si="1"/>
        <v>1023</v>
      </c>
      <c r="I33" s="100">
        <v>75.0</v>
      </c>
      <c r="J33" s="101">
        <f t="shared" si="2"/>
        <v>1098</v>
      </c>
      <c r="K33" s="97">
        <f>'Travel Detail'!Q33</f>
        <v>73</v>
      </c>
      <c r="L33" s="97">
        <v>100.0</v>
      </c>
      <c r="M33" s="55">
        <f t="shared" si="3"/>
        <v>850</v>
      </c>
      <c r="N33" s="64" t="s">
        <v>53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49" t="s">
        <v>165</v>
      </c>
      <c r="C34" s="50" t="s">
        <v>52</v>
      </c>
      <c r="D34" s="103">
        <f>'Travel Detail'!P34</f>
        <v>238</v>
      </c>
      <c r="E34" s="104">
        <v>750.0</v>
      </c>
      <c r="F34" s="104">
        <v>100.0</v>
      </c>
      <c r="G34" s="104">
        <v>100.0</v>
      </c>
      <c r="H34" s="99">
        <f t="shared" si="1"/>
        <v>1188</v>
      </c>
      <c r="I34" s="100">
        <v>75.0</v>
      </c>
      <c r="J34" s="105">
        <f t="shared" si="2"/>
        <v>1263</v>
      </c>
      <c r="K34" s="103">
        <f>'Travel Detail'!Q34</f>
        <v>150</v>
      </c>
      <c r="L34" s="103">
        <v>100.0</v>
      </c>
      <c r="M34" s="55">
        <f t="shared" si="3"/>
        <v>938</v>
      </c>
      <c r="N34" s="57" t="s">
        <v>53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61" t="s">
        <v>79</v>
      </c>
      <c r="C35" s="62" t="s">
        <v>52</v>
      </c>
      <c r="D35" s="97">
        <f>'Travel Detail'!P35</f>
        <v>779</v>
      </c>
      <c r="E35" s="98">
        <v>750.0</v>
      </c>
      <c r="F35" s="98">
        <v>100.0</v>
      </c>
      <c r="G35" s="98">
        <v>100.0</v>
      </c>
      <c r="H35" s="99">
        <f t="shared" si="1"/>
        <v>1729</v>
      </c>
      <c r="I35" s="100">
        <v>75.0</v>
      </c>
      <c r="J35" s="101">
        <f t="shared" si="2"/>
        <v>1804</v>
      </c>
      <c r="K35" s="97">
        <f>'Travel Detail'!Q35</f>
        <v>124</v>
      </c>
      <c r="L35" s="97">
        <v>100.0</v>
      </c>
      <c r="M35" s="55">
        <f t="shared" si="3"/>
        <v>1505</v>
      </c>
      <c r="N35" s="64" t="s">
        <v>53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49" t="s">
        <v>101</v>
      </c>
      <c r="C36" s="50" t="s">
        <v>52</v>
      </c>
      <c r="D36" s="103">
        <f>'Travel Detail'!P36</f>
        <v>218</v>
      </c>
      <c r="E36" s="104">
        <v>750.0</v>
      </c>
      <c r="F36" s="104">
        <v>100.0</v>
      </c>
      <c r="G36" s="104">
        <v>100.0</v>
      </c>
      <c r="H36" s="99">
        <f t="shared" si="1"/>
        <v>1168</v>
      </c>
      <c r="I36" s="100">
        <v>75.0</v>
      </c>
      <c r="J36" s="105">
        <f t="shared" si="2"/>
        <v>1243</v>
      </c>
      <c r="K36" s="103">
        <f>'Travel Detail'!Q36</f>
        <v>83</v>
      </c>
      <c r="L36" s="103">
        <v>100.0</v>
      </c>
      <c r="M36" s="55">
        <f t="shared" si="3"/>
        <v>985</v>
      </c>
      <c r="N36" s="57" t="s">
        <v>53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61" t="s">
        <v>71</v>
      </c>
      <c r="C37" s="62" t="s">
        <v>52</v>
      </c>
      <c r="D37" s="97">
        <f>'Travel Detail'!P37</f>
        <v>314</v>
      </c>
      <c r="E37" s="98">
        <v>750.0</v>
      </c>
      <c r="F37" s="98">
        <v>100.0</v>
      </c>
      <c r="G37" s="98">
        <v>100.0</v>
      </c>
      <c r="H37" s="99">
        <f t="shared" si="1"/>
        <v>1264</v>
      </c>
      <c r="I37" s="100">
        <v>75.0</v>
      </c>
      <c r="J37" s="101">
        <f t="shared" si="2"/>
        <v>1339</v>
      </c>
      <c r="K37" s="97">
        <f>'Travel Detail'!Q37</f>
        <v>94</v>
      </c>
      <c r="L37" s="97">
        <v>100.0</v>
      </c>
      <c r="M37" s="55">
        <f t="shared" si="3"/>
        <v>1070</v>
      </c>
      <c r="N37" s="64" t="s">
        <v>53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49" t="s">
        <v>162</v>
      </c>
      <c r="C38" s="50" t="s">
        <v>52</v>
      </c>
      <c r="D38" s="103">
        <f>'Travel Detail'!P38</f>
        <v>172</v>
      </c>
      <c r="E38" s="104">
        <v>750.0</v>
      </c>
      <c r="F38" s="104">
        <v>100.0</v>
      </c>
      <c r="G38" s="104">
        <v>100.0</v>
      </c>
      <c r="H38" s="99">
        <f t="shared" si="1"/>
        <v>1122</v>
      </c>
      <c r="I38" s="100">
        <v>75.0</v>
      </c>
      <c r="J38" s="105">
        <f t="shared" si="2"/>
        <v>1197</v>
      </c>
      <c r="K38" s="103">
        <f>'Travel Detail'!Q38</f>
        <v>86</v>
      </c>
      <c r="L38" s="103">
        <v>100.0</v>
      </c>
      <c r="M38" s="55">
        <f t="shared" si="3"/>
        <v>936</v>
      </c>
      <c r="N38" s="57" t="s">
        <v>53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61" t="s">
        <v>136</v>
      </c>
      <c r="C39" s="62" t="s">
        <v>52</v>
      </c>
      <c r="D39" s="97">
        <f>'Travel Detail'!P39</f>
        <v>278</v>
      </c>
      <c r="E39" s="98">
        <v>750.0</v>
      </c>
      <c r="F39" s="98">
        <v>100.0</v>
      </c>
      <c r="G39" s="98">
        <v>100.0</v>
      </c>
      <c r="H39" s="99">
        <f t="shared" si="1"/>
        <v>1228</v>
      </c>
      <c r="I39" s="100">
        <v>75.0</v>
      </c>
      <c r="J39" s="101">
        <f t="shared" si="2"/>
        <v>1303</v>
      </c>
      <c r="K39" s="97">
        <f>'Travel Detail'!Q39</f>
        <v>143</v>
      </c>
      <c r="L39" s="97">
        <v>100.0</v>
      </c>
      <c r="M39" s="55">
        <f t="shared" si="3"/>
        <v>985</v>
      </c>
      <c r="N39" s="64" t="s">
        <v>53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49" t="s">
        <v>154</v>
      </c>
      <c r="C40" s="50" t="s">
        <v>52</v>
      </c>
      <c r="D40" s="103">
        <f>'Travel Detail'!P40</f>
        <v>792</v>
      </c>
      <c r="E40" s="104">
        <v>750.0</v>
      </c>
      <c r="F40" s="104">
        <v>100.0</v>
      </c>
      <c r="G40" s="104">
        <v>100.0</v>
      </c>
      <c r="H40" s="99">
        <f t="shared" si="1"/>
        <v>1742</v>
      </c>
      <c r="I40" s="100">
        <v>75.0</v>
      </c>
      <c r="J40" s="105">
        <f t="shared" si="2"/>
        <v>1817</v>
      </c>
      <c r="K40" s="103">
        <f>'Travel Detail'!Q40</f>
        <v>137</v>
      </c>
      <c r="L40" s="103">
        <v>100.0</v>
      </c>
      <c r="M40" s="55">
        <f t="shared" si="3"/>
        <v>1505</v>
      </c>
      <c r="N40" s="57" t="s">
        <v>51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61" t="s">
        <v>142</v>
      </c>
      <c r="C41" s="62" t="s">
        <v>52</v>
      </c>
      <c r="D41" s="97">
        <f>'Travel Detail'!P41</f>
        <v>138</v>
      </c>
      <c r="E41" s="98">
        <v>750.0</v>
      </c>
      <c r="F41" s="98">
        <v>100.0</v>
      </c>
      <c r="G41" s="98">
        <v>100.0</v>
      </c>
      <c r="H41" s="99">
        <f t="shared" si="1"/>
        <v>1088</v>
      </c>
      <c r="I41" s="100">
        <v>75.0</v>
      </c>
      <c r="J41" s="101">
        <f t="shared" si="2"/>
        <v>1163</v>
      </c>
      <c r="K41" s="97">
        <f>'Travel Detail'!Q41</f>
        <v>69</v>
      </c>
      <c r="L41" s="97">
        <v>100.0</v>
      </c>
      <c r="M41" s="55">
        <f t="shared" si="3"/>
        <v>919</v>
      </c>
      <c r="N41" s="64" t="s">
        <v>53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49" t="s">
        <v>164</v>
      </c>
      <c r="C42" s="50" t="s">
        <v>52</v>
      </c>
      <c r="D42" s="103">
        <f>'Travel Detail'!P42</f>
        <v>87</v>
      </c>
      <c r="E42" s="104">
        <v>750.0</v>
      </c>
      <c r="F42" s="104">
        <v>100.0</v>
      </c>
      <c r="G42" s="104">
        <v>100.0</v>
      </c>
      <c r="H42" s="99">
        <f t="shared" si="1"/>
        <v>1037</v>
      </c>
      <c r="I42" s="100">
        <v>75.0</v>
      </c>
      <c r="J42" s="105">
        <f t="shared" si="2"/>
        <v>1112</v>
      </c>
      <c r="K42" s="103">
        <f>'Travel Detail'!Q42</f>
        <v>87</v>
      </c>
      <c r="L42" s="103">
        <v>100.0</v>
      </c>
      <c r="M42" s="55">
        <f t="shared" si="3"/>
        <v>850</v>
      </c>
      <c r="N42" s="57" t="s">
        <v>53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61" t="s">
        <v>161</v>
      </c>
      <c r="C43" s="62" t="s">
        <v>52</v>
      </c>
      <c r="D43" s="97">
        <f>'Travel Detail'!P43</f>
        <v>71</v>
      </c>
      <c r="E43" s="98">
        <v>750.0</v>
      </c>
      <c r="F43" s="98">
        <v>100.0</v>
      </c>
      <c r="G43" s="98">
        <v>100.0</v>
      </c>
      <c r="H43" s="99">
        <f t="shared" si="1"/>
        <v>1021</v>
      </c>
      <c r="I43" s="100">
        <v>75.0</v>
      </c>
      <c r="J43" s="101">
        <f t="shared" si="2"/>
        <v>1096</v>
      </c>
      <c r="K43" s="97">
        <f>'Travel Detail'!Q43</f>
        <v>71</v>
      </c>
      <c r="L43" s="97">
        <v>100.0</v>
      </c>
      <c r="M43" s="55">
        <f t="shared" si="3"/>
        <v>850</v>
      </c>
      <c r="N43" s="64" t="s">
        <v>53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49" t="s">
        <v>169</v>
      </c>
      <c r="C44" s="50" t="s">
        <v>52</v>
      </c>
      <c r="D44" s="103">
        <f>'Travel Detail'!P44</f>
        <v>290</v>
      </c>
      <c r="E44" s="104">
        <v>750.0</v>
      </c>
      <c r="F44" s="104">
        <v>100.0</v>
      </c>
      <c r="G44" s="104">
        <v>100.0</v>
      </c>
      <c r="H44" s="99">
        <f t="shared" si="1"/>
        <v>1240</v>
      </c>
      <c r="I44" s="100">
        <v>75.0</v>
      </c>
      <c r="J44" s="105">
        <f t="shared" si="2"/>
        <v>1315</v>
      </c>
      <c r="K44" s="103">
        <f>'Travel Detail'!Q44</f>
        <v>145</v>
      </c>
      <c r="L44" s="103">
        <v>100.0</v>
      </c>
      <c r="M44" s="55">
        <f t="shared" si="3"/>
        <v>995</v>
      </c>
      <c r="N44" s="57" t="s">
        <v>53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61" t="s">
        <v>87</v>
      </c>
      <c r="C45" s="62" t="s">
        <v>52</v>
      </c>
      <c r="D45" s="97">
        <f>'Travel Detail'!P45</f>
        <v>294</v>
      </c>
      <c r="E45" s="98">
        <v>750.0</v>
      </c>
      <c r="F45" s="98">
        <v>100.0</v>
      </c>
      <c r="G45" s="98">
        <v>100.0</v>
      </c>
      <c r="H45" s="99">
        <f t="shared" si="1"/>
        <v>1244</v>
      </c>
      <c r="I45" s="100">
        <v>75.0</v>
      </c>
      <c r="J45" s="101">
        <f t="shared" si="2"/>
        <v>1319</v>
      </c>
      <c r="K45" s="97">
        <f>'Travel Detail'!Q45</f>
        <v>147</v>
      </c>
      <c r="L45" s="97">
        <v>100.0</v>
      </c>
      <c r="M45" s="55">
        <f t="shared" si="3"/>
        <v>997</v>
      </c>
      <c r="N45" s="64" t="s">
        <v>53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49" t="s">
        <v>133</v>
      </c>
      <c r="C46" s="50" t="s">
        <v>135</v>
      </c>
      <c r="D46" s="53">
        <f>'Travel Detail'!P46</f>
        <v>128</v>
      </c>
      <c r="E46" s="104">
        <v>750.0</v>
      </c>
      <c r="F46" s="104">
        <v>100.0</v>
      </c>
      <c r="G46" s="104">
        <v>100.0</v>
      </c>
      <c r="H46" s="99">
        <f t="shared" si="1"/>
        <v>1078</v>
      </c>
      <c r="I46" s="106">
        <v>0.0</v>
      </c>
      <c r="J46" s="105">
        <f t="shared" si="2"/>
        <v>1078</v>
      </c>
      <c r="K46" s="53">
        <f>'Travel Detail'!Q46</f>
        <v>64</v>
      </c>
      <c r="L46" s="103">
        <v>100.0</v>
      </c>
      <c r="M46" s="55">
        <f t="shared" si="3"/>
        <v>914</v>
      </c>
      <c r="N46" s="57" t="s">
        <v>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49" t="s">
        <v>170</v>
      </c>
      <c r="C47" s="50" t="s">
        <v>52</v>
      </c>
      <c r="D47" s="53">
        <f>'Travel Detail'!P47</f>
        <v>80</v>
      </c>
      <c r="E47" s="104">
        <v>750.0</v>
      </c>
      <c r="F47" s="104">
        <v>100.0</v>
      </c>
      <c r="G47" s="104">
        <v>100.0</v>
      </c>
      <c r="H47" s="99">
        <f t="shared" si="1"/>
        <v>1030</v>
      </c>
      <c r="I47" s="106">
        <v>75.0</v>
      </c>
      <c r="J47" s="105">
        <f t="shared" si="2"/>
        <v>1105</v>
      </c>
      <c r="K47" s="53">
        <f>'Travel Detail'!Q47</f>
        <v>80</v>
      </c>
      <c r="L47" s="103">
        <v>100.0</v>
      </c>
      <c r="M47" s="55">
        <f t="shared" si="3"/>
        <v>850</v>
      </c>
      <c r="N47" s="57" t="s">
        <v>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2" t="s">
        <v>188</v>
      </c>
      <c r="C48" s="107"/>
      <c r="D48" s="30">
        <f t="shared" ref="D48:M48" si="4">SUM(D7:D47)</f>
        <v>15545</v>
      </c>
      <c r="E48" s="23">
        <f t="shared" si="4"/>
        <v>30750</v>
      </c>
      <c r="F48" s="23">
        <f t="shared" si="4"/>
        <v>4100</v>
      </c>
      <c r="G48" s="23">
        <f t="shared" si="4"/>
        <v>4100</v>
      </c>
      <c r="H48" s="30">
        <f t="shared" si="4"/>
        <v>54495</v>
      </c>
      <c r="I48" s="108">
        <f t="shared" si="4"/>
        <v>4475</v>
      </c>
      <c r="J48" s="30">
        <f t="shared" si="4"/>
        <v>58970</v>
      </c>
      <c r="K48" s="23">
        <f t="shared" si="4"/>
        <v>4609</v>
      </c>
      <c r="L48" s="23">
        <f t="shared" si="4"/>
        <v>4100</v>
      </c>
      <c r="M48" s="30">
        <f t="shared" si="4"/>
        <v>45786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9.75" customHeight="1">
      <c r="A49" s="1"/>
      <c r="B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09" t="s">
        <v>189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6">
    <mergeCell ref="B2:M2"/>
    <mergeCell ref="B3:M3"/>
    <mergeCell ref="B4:M4"/>
    <mergeCell ref="D5:H5"/>
    <mergeCell ref="K5:L5"/>
    <mergeCell ref="B49:M4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69.0"/>
    <col customWidth="1" min="4" max="4" width="2.0"/>
    <col customWidth="1" min="5" max="23" width="8.71"/>
  </cols>
  <sheetData>
    <row r="1" ht="15.0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4.0" customHeight="1">
      <c r="A2" s="9"/>
      <c r="B2" s="110" t="s">
        <v>190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3.25" customHeight="1">
      <c r="A3" s="9"/>
      <c r="B3" s="111" t="s">
        <v>191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6.0" customHeight="1">
      <c r="A4" s="9"/>
      <c r="B4" s="112"/>
      <c r="C4" s="14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7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9"/>
      <c r="B6" s="113" t="s">
        <v>192</v>
      </c>
      <c r="C6" s="14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6.0" customHeight="1">
      <c r="A7" s="9"/>
      <c r="B7" s="114" t="s">
        <v>193</v>
      </c>
      <c r="C7" s="115" t="s">
        <v>194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6.0" customHeight="1">
      <c r="A8" s="9"/>
      <c r="B8" s="116" t="s">
        <v>133</v>
      </c>
      <c r="C8" s="117" t="s">
        <v>195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7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8.0" customHeight="1">
      <c r="A10" s="9"/>
      <c r="B10" s="113" t="s">
        <v>196</v>
      </c>
      <c r="C10" s="14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6.0" customHeight="1">
      <c r="A11" s="9"/>
      <c r="B11" s="114" t="s">
        <v>197</v>
      </c>
      <c r="C11" s="115" t="s">
        <v>198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6.0" customHeight="1">
      <c r="A12" s="9"/>
      <c r="B12" s="116" t="s">
        <v>199</v>
      </c>
      <c r="C12" s="117" t="s">
        <v>200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6.0" customHeight="1">
      <c r="A13" s="9"/>
      <c r="B13" s="114" t="s">
        <v>201</v>
      </c>
      <c r="C13" s="115" t="s">
        <v>202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6.0" customHeight="1">
      <c r="A14" s="9"/>
      <c r="B14" s="116" t="s">
        <v>203</v>
      </c>
      <c r="C14" s="117" t="s">
        <v>204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6.0" customHeight="1">
      <c r="A15" s="9"/>
      <c r="B15" s="114" t="s">
        <v>205</v>
      </c>
      <c r="C15" s="115" t="s">
        <v>206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7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8.0" customHeight="1">
      <c r="A17" s="9"/>
      <c r="B17" s="113" t="s">
        <v>207</v>
      </c>
      <c r="C17" s="14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6.0" customHeight="1">
      <c r="A18" s="9"/>
      <c r="B18" s="114" t="s">
        <v>208</v>
      </c>
      <c r="C18" s="115" t="s">
        <v>209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6.0" customHeight="1">
      <c r="A19" s="9"/>
      <c r="B19" s="116" t="s">
        <v>210</v>
      </c>
      <c r="C19" s="117" t="s">
        <v>211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6.0" customHeight="1">
      <c r="A20" s="9"/>
      <c r="B20" s="114" t="s">
        <v>212</v>
      </c>
      <c r="C20" s="115" t="s">
        <v>213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6.0" customHeight="1">
      <c r="A21" s="9"/>
      <c r="B21" s="116" t="s">
        <v>214</v>
      </c>
      <c r="C21" s="117" t="s">
        <v>215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7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8.0" customHeight="1">
      <c r="A23" s="9"/>
      <c r="B23" s="113" t="s">
        <v>216</v>
      </c>
      <c r="C23" s="14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6.0" customHeight="1">
      <c r="A24" s="9"/>
      <c r="B24" s="114" t="s">
        <v>217</v>
      </c>
      <c r="C24" s="115" t="s">
        <v>218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6.0" customHeight="1">
      <c r="A25" s="9"/>
      <c r="B25" s="116" t="s">
        <v>219</v>
      </c>
      <c r="C25" s="117" t="s">
        <v>220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6.0" customHeight="1">
      <c r="A26" s="9"/>
      <c r="B26" s="114" t="s">
        <v>221</v>
      </c>
      <c r="C26" s="115" t="s">
        <v>222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6.0" customHeight="1">
      <c r="A27" s="9"/>
      <c r="B27" s="116" t="s">
        <v>223</v>
      </c>
      <c r="C27" s="117" t="s">
        <v>224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6.0" customHeight="1">
      <c r="A28" s="9"/>
      <c r="B28" s="114" t="s">
        <v>225</v>
      </c>
      <c r="C28" s="115" t="s">
        <v>226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7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8.0" customHeight="1">
      <c r="A30" s="9"/>
      <c r="B30" s="113" t="s">
        <v>227</v>
      </c>
      <c r="C30" s="1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6.0" customHeight="1">
      <c r="A31" s="9"/>
      <c r="B31" s="114" t="s">
        <v>228</v>
      </c>
      <c r="C31" s="115" t="s">
        <v>229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6.0" customHeight="1">
      <c r="A32" s="9"/>
      <c r="B32" s="116" t="s">
        <v>230</v>
      </c>
      <c r="C32" s="117" t="s">
        <v>231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7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8.0" customHeight="1">
      <c r="A34" s="9"/>
      <c r="B34" s="113" t="s">
        <v>232</v>
      </c>
      <c r="C34" s="1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6.0" customHeight="1">
      <c r="A35" s="9"/>
      <c r="B35" s="114" t="s">
        <v>233</v>
      </c>
      <c r="C35" s="115" t="s">
        <v>234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6.0" customHeight="1">
      <c r="A36" s="9"/>
      <c r="B36" s="116" t="s">
        <v>235</v>
      </c>
      <c r="C36" s="117" t="s">
        <v>236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6.0" customHeight="1">
      <c r="A37" s="9"/>
      <c r="B37" s="114" t="s">
        <v>237</v>
      </c>
      <c r="C37" s="115" t="s">
        <v>238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6.0" customHeight="1">
      <c r="A38" s="9"/>
      <c r="B38" s="116" t="s">
        <v>239</v>
      </c>
      <c r="C38" s="117" t="s">
        <v>240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7.5" customHeight="1">
      <c r="A39" s="9"/>
      <c r="B39" s="9" t="s">
        <v>241</v>
      </c>
      <c r="C39" s="9" t="s">
        <v>242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8.0" customHeight="1">
      <c r="A40" s="9"/>
      <c r="B40" s="113" t="s">
        <v>243</v>
      </c>
      <c r="C40" s="1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6.0" customHeight="1">
      <c r="A41" s="9"/>
      <c r="B41" s="118" t="s">
        <v>244</v>
      </c>
      <c r="C41" s="119" t="s">
        <v>245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6.0" customHeight="1">
      <c r="A42" s="9"/>
      <c r="B42" s="114" t="s">
        <v>246</v>
      </c>
      <c r="C42" s="115" t="s">
        <v>247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6.0" customHeight="1">
      <c r="A43" s="9"/>
      <c r="B43" s="116" t="s">
        <v>248</v>
      </c>
      <c r="C43" s="117" t="s">
        <v>249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6.0" customHeight="1">
      <c r="A44" s="9"/>
      <c r="B44" s="114" t="s">
        <v>250</v>
      </c>
      <c r="C44" s="115" t="s">
        <v>251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6.0" customHeight="1">
      <c r="A45" s="9"/>
      <c r="B45" s="116" t="s">
        <v>252</v>
      </c>
      <c r="C45" s="117" t="s">
        <v>253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7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8.0" customHeight="1">
      <c r="A47" s="9"/>
      <c r="B47" s="113" t="s">
        <v>254</v>
      </c>
      <c r="C47" s="1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6.0" customHeight="1">
      <c r="A48" s="9"/>
      <c r="B48" s="114" t="s">
        <v>255</v>
      </c>
      <c r="C48" s="115" t="s">
        <v>256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6.0" customHeight="1">
      <c r="A49" s="9"/>
      <c r="B49" s="116" t="s">
        <v>257</v>
      </c>
      <c r="C49" s="117" t="s">
        <v>258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6.0" customHeight="1">
      <c r="A50" s="9"/>
      <c r="B50" s="114" t="s">
        <v>259</v>
      </c>
      <c r="C50" s="115" t="s">
        <v>260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6.0" customHeight="1">
      <c r="A51" s="9"/>
      <c r="B51" s="116" t="s">
        <v>261</v>
      </c>
      <c r="C51" s="117" t="s">
        <v>262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7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8.0" customHeight="1">
      <c r="A53" s="9"/>
      <c r="B53" s="113" t="s">
        <v>263</v>
      </c>
      <c r="C53" s="1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6.0" customHeight="1">
      <c r="A54" s="9"/>
      <c r="B54" s="114" t="s">
        <v>264</v>
      </c>
      <c r="C54" s="115" t="s">
        <v>265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6.0" customHeight="1">
      <c r="A55" s="9"/>
      <c r="B55" s="116" t="s">
        <v>170</v>
      </c>
      <c r="C55" s="117" t="s">
        <v>266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7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8.0" customHeight="1">
      <c r="A57" s="9"/>
      <c r="B57" s="113" t="s">
        <v>267</v>
      </c>
      <c r="C57" s="1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6.0" customHeight="1">
      <c r="A58" s="9"/>
      <c r="B58" s="114" t="s">
        <v>268</v>
      </c>
      <c r="C58" s="115" t="s">
        <v>269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6.0" customHeight="1">
      <c r="A59" s="9"/>
      <c r="B59" s="116" t="s">
        <v>270</v>
      </c>
      <c r="C59" s="117" t="s">
        <v>271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6.0" customHeight="1">
      <c r="A60" s="9"/>
      <c r="B60" s="114" t="s">
        <v>272</v>
      </c>
      <c r="C60" s="115" t="s">
        <v>273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6.0" customHeight="1">
      <c r="A61" s="9"/>
      <c r="B61" s="116" t="s">
        <v>274</v>
      </c>
      <c r="C61" s="117" t="s">
        <v>275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6.0" customHeight="1">
      <c r="A62" s="9"/>
      <c r="B62" s="114" t="s">
        <v>276</v>
      </c>
      <c r="C62" s="115" t="s">
        <v>277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6.0" customHeight="1">
      <c r="A63" s="9"/>
      <c r="B63" s="116" t="s">
        <v>278</v>
      </c>
      <c r="C63" s="117" t="s">
        <v>279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3">
    <mergeCell ref="B30:C30"/>
    <mergeCell ref="B34:C34"/>
    <mergeCell ref="B40:C40"/>
    <mergeCell ref="B47:C47"/>
    <mergeCell ref="B53:C53"/>
    <mergeCell ref="B57:C57"/>
    <mergeCell ref="B2:C2"/>
    <mergeCell ref="B3:C3"/>
    <mergeCell ref="B4:C4"/>
    <mergeCell ref="B6:C6"/>
    <mergeCell ref="B10:C10"/>
    <mergeCell ref="B17:C17"/>
    <mergeCell ref="B23:C23"/>
  </mergeCells>
  <printOptions/>
  <pageMargins bottom="1.0" footer="0.0" header="0.0" left="0.75" right="0.75" top="1.0"/>
  <pageSetup paperSize="9" orientation="portrait"/>
  <drawing r:id="rId1"/>
</worksheet>
</file>