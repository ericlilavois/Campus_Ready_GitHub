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Operating Budget" sheetId="1" r:id="rId4"/>
    <sheet state="visible" name="Financial Position" sheetId="2" r:id="rId5"/>
    <sheet state="visible" name="Monthly Tracker" sheetId="3" r:id="rId6"/>
    <sheet state="visible" name="Securities Detail" sheetId="4" r:id="rId7"/>
  </sheets>
  <definedNames/>
  <calcPr/>
  <extLst>
    <ext uri="GoogleSheetsCustomDataVersion2">
      <go:sheetsCustomData xmlns:go="http://customooxmlschemas.google.com/" r:id="rId8" roundtripDataChecksum="IQmVqYVU4IRr+V2kpdbAt+5z7DgnpJNYsRcTP3SPL20="/>
    </ext>
  </extLst>
</workbook>
</file>

<file path=xl/sharedStrings.xml><?xml version="1.0" encoding="utf-8"?>
<sst xmlns="http://schemas.openxmlformats.org/spreadsheetml/2006/main" count="177" uniqueCount="144">
  <si>
    <t>Campus Ready Foundation</t>
  </si>
  <si>
    <t>2026 Operating Budget  •  For Board Approval  •  March 17, 2026</t>
  </si>
  <si>
    <t xml:space="preserve">  KEY ASSUMPTIONS</t>
  </si>
  <si>
    <t>Students served (Cohort 1)</t>
  </si>
  <si>
    <t>Summer 2026 — target cohort</t>
  </si>
  <si>
    <t>Average grant per student</t>
  </si>
  <si>
    <t>Essentials, travel, meals, incidentals</t>
  </si>
  <si>
    <t>Total program funding required</t>
  </si>
  <si>
    <t xml:space="preserve">  AVAILABLE RESOURCES</t>
  </si>
  <si>
    <t>Source</t>
  </si>
  <si>
    <t>Amount</t>
  </si>
  <si>
    <t>Notes</t>
  </si>
  <si>
    <t>Cash on hand (Schwab, as of Mar 16)</t>
  </si>
  <si>
    <t>Update from latest statement</t>
  </si>
  <si>
    <t>Securities — donated equities</t>
  </si>
  <si>
    <t>Current market value — see Securities Detail tab</t>
  </si>
  <si>
    <t>2026 fundraising goal</t>
  </si>
  <si>
    <t>Donations, sponsors, partners, grants</t>
  </si>
  <si>
    <t>TOTAL AVAILABLE RESOURCES</t>
  </si>
  <si>
    <t xml:space="preserve">  PROGRAM EXPENSES — Direct Student Support</t>
  </si>
  <si>
    <t>Category</t>
  </si>
  <si>
    <t>Per Student</t>
  </si>
  <si>
    <t>Total</t>
  </si>
  <si>
    <t>Move-in essentials kit</t>
  </si>
  <si>
    <t>Bedding, bath, storage, personal care</t>
  </si>
  <si>
    <t>Travel &amp; transportation</t>
  </si>
  <si>
    <t>Flights, ground transport, hotel</t>
  </si>
  <si>
    <t>Early-arrival meals</t>
  </si>
  <si>
    <t>Campus meals before meal plan starts</t>
  </si>
  <si>
    <t>Incidentals gift card</t>
  </si>
  <si>
    <t>Student discretionary spending</t>
  </si>
  <si>
    <t>Subtotal — Program</t>
  </si>
  <si>
    <t xml:space="preserve">  OPERATING EXPENSES</t>
  </si>
  <si>
    <t>Annual</t>
  </si>
  <si>
    <t>Software subscriptions</t>
  </si>
  <si>
    <t>Claude $20/mo + Google Workspace $3.50/mo</t>
  </si>
  <si>
    <t>Printing</t>
  </si>
  <si>
    <t>Periodic — estimated</t>
  </si>
  <si>
    <t>Office supplies</t>
  </si>
  <si>
    <t>Estimated</t>
  </si>
  <si>
    <t>Equipment — iPad</t>
  </si>
  <si>
    <t>One-time purchase</t>
  </si>
  <si>
    <t>State filing fees</t>
  </si>
  <si>
    <t>CA AG annual renewal (RRF-1)</t>
  </si>
  <si>
    <t>Subtotal — Operating</t>
  </si>
  <si>
    <t xml:space="preserve">  BUDGET SUMMARY</t>
  </si>
  <si>
    <t>Total program expenses</t>
  </si>
  <si>
    <t>Total operating expenses</t>
  </si>
  <si>
    <t>TOTAL EXPENSES</t>
  </si>
  <si>
    <t>Total available resources</t>
  </si>
  <si>
    <t>SURPLUS / (DEFICIT)</t>
  </si>
  <si>
    <t>Program expense ratio</t>
  </si>
  <si>
    <t>% of spending on direct student support</t>
  </si>
  <si>
    <t>Cost per student (all-in)</t>
  </si>
  <si>
    <t>Total expenses ÷ students served</t>
  </si>
  <si>
    <t xml:space="preserve">  FUNDING GAP — For Donor &amp; Partner Conversations</t>
  </si>
  <si>
    <t>Total expenses to serve 50 students</t>
  </si>
  <si>
    <t>Less: Cash and securities on hand</t>
  </si>
  <si>
    <t>REMAINING GAP TO CLOSE</t>
  </si>
  <si>
    <t xml:space="preserve">  Every $2,500 raised funds one student's complete move-in experience — essentials, travel, meals, and incidentals.</t>
  </si>
  <si>
    <t xml:space="preserve">  •  Blue values are editable. Adjust student count, costs, or asset values to model scenarios.</t>
  </si>
  <si>
    <t xml:space="preserve">  •  Disney stock to be liquidated before grant funding — value fluctuates until sold.</t>
  </si>
  <si>
    <t xml:space="preserve">  •  Per-student costs are averages — actual costs vary by student location and travel.</t>
  </si>
  <si>
    <t xml:space="preserve">  •  See Financial Position sheet for detailed YTD activity. See Monthly Tracker for budget pacing.</t>
  </si>
  <si>
    <t>Financial Position  •  As of May 11, 2026</t>
  </si>
  <si>
    <t xml:space="preserve">  LIQUID ASSETS</t>
  </si>
  <si>
    <t>Cash (Schwab sweep + money market)</t>
  </si>
  <si>
    <t>⚠ Update manually from Schwab statement</t>
  </si>
  <si>
    <t>Pulls from Securities Detail tab</t>
  </si>
  <si>
    <t xml:space="preserve">  Unrealized gain / (loss) on securities</t>
  </si>
  <si>
    <t>Informational only — not included in total</t>
  </si>
  <si>
    <t>TOTAL LIQUID ASSETS</t>
  </si>
  <si>
    <t xml:space="preserve">  2026 OPERATING EXPENSES (YTD)</t>
  </si>
  <si>
    <t>Total operating expenses paid</t>
  </si>
  <si>
    <t>See Monthly Tracker for line-item detail</t>
  </si>
  <si>
    <t xml:space="preserve">  NET POSITION</t>
  </si>
  <si>
    <t>Total liquid assets</t>
  </si>
  <si>
    <t>Less: YTD operating expenses</t>
  </si>
  <si>
    <t>CURRENT NET POSITION</t>
  </si>
  <si>
    <t xml:space="preserve">  FUNDRAISING PROGRESS</t>
  </si>
  <si>
    <t>Cash donations received (YTD)</t>
  </si>
  <si>
    <t>Givebutter + Direct donations from Monthly Tracker</t>
  </si>
  <si>
    <t>Investment income (YTD)</t>
  </si>
  <si>
    <t>Fundraising progress (cash donations ÷ goal)</t>
  </si>
  <si>
    <t xml:space="preserve">  IN-KIND PARTNER COMMITMENTS</t>
  </si>
  <si>
    <t>These are student-redeemable credits — not liquid assets</t>
  </si>
  <si>
    <t>Lyft — Ride Credits</t>
  </si>
  <si>
    <t>DoorDash — Community Credits</t>
  </si>
  <si>
    <t>TOTAL IN-KIND COMMITTED</t>
  </si>
  <si>
    <t>Cross-checks Monthly Tracker Sponsors/Partners row</t>
  </si>
  <si>
    <t xml:space="preserve">  HOW TO UPDATE THIS SHEET</t>
  </si>
  <si>
    <t xml:space="preserve">  1.  Change the date in row 2.</t>
  </si>
  <si>
    <t xml:space="preserve">  2.  Update cash on hand (cell B5) from your current Schwab statement.</t>
  </si>
  <si>
    <t xml:space="preserve">  3.  Update Disney stock current value in the Securities Detail tab.</t>
  </si>
  <si>
    <t xml:space="preserve">  4.  Enter new expenses in the Monthly Tracker as they occur.</t>
  </si>
  <si>
    <t xml:space="preserve">  5.  Enter new donations and in-kind commitments in the Monthly Tracker as they occur.</t>
  </si>
  <si>
    <t xml:space="preserve">  6.  All other cells (expenses, fundraising progress, in-kind total, net position) recalculate automatically.</t>
  </si>
  <si>
    <t>2026 Monthly Budget vs. Actual  •  Enter actual amounts each month  •  Blue = input</t>
  </si>
  <si>
    <t xml:space="preserve">  REVENUE</t>
  </si>
  <si>
    <t>Annual Budget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</si>
  <si>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</si>
  <si>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</si>
  <si>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</si>
  <si>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</si>
  <si>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</si>
  <si>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</si>
  <si>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</si>
  <si>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</si>
  <si>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</si>
  <si>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</si>
  <si>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</si>
  <si>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</si>
  <si>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 Actual</t>
  </si>
  <si>
    <t>Remaining</t>
  </si>
  <si>
    <t>Donations — Givebutter</t>
  </si>
  <si>
    <t>Donations — Direct</t>
  </si>
  <si>
    <t>Investment income</t>
  </si>
  <si>
    <t>Sponsors / Partners / Grants</t>
  </si>
  <si>
    <t>TOTAL REVENUE</t>
  </si>
  <si>
    <t xml:space="preserve">  EXPENSES</t>
  </si>
  <si>
    <t>Equipment — MacBook Air</t>
  </si>
  <si>
    <t>Schwab advisor fee</t>
  </si>
  <si>
    <t>Program expenses — student grants</t>
  </si>
  <si>
    <t xml:space="preserve">  MONTHLY NET (Revenue − Expenses)</t>
  </si>
  <si>
    <t>Net monthly activity</t>
  </si>
  <si>
    <t>Enter actual amounts in the month columns as transactions occur. YTD and Remaining columns calculate automatically. MacBook and Schwab fee are unbudgeted actuals — they show a negative Remaining, which is expected.</t>
  </si>
  <si>
    <t>Securities Detail  •  Update current values when refreshing Financial Position</t>
  </si>
  <si>
    <t xml:space="preserve">  DONATED SECURITIES</t>
  </si>
  <si>
    <t>Donation</t>
  </si>
  <si>
    <t>Date Received</t>
  </si>
  <si>
    <t>Original FMV</t>
  </si>
  <si>
    <t>Sold to Cash</t>
  </si>
  <si>
    <t>Current Value</t>
  </si>
  <si>
    <t>Gain / (Loss)</t>
  </si>
  <si>
    <t>DIS + JPM (Eric &amp; Karen Lilavois)</t>
  </si>
  <si>
    <t>Nov 17, 2025</t>
  </si>
  <si>
    <t>JPM sold Dec 2025. 161.09 DIS shares remain.</t>
  </si>
  <si>
    <t>TOTAL SECURITIES</t>
  </si>
  <si>
    <t>How to add a new donation</t>
  </si>
  <si>
    <t xml:space="preserve">  1.  Insert a row above the TOTAL SECURITIES row (row 11).</t>
  </si>
  <si>
    <t xml:space="preserve">  2.  Enter the donation name, date, original FMV, and any shares sold.</t>
  </si>
  <si>
    <t xml:space="preserve">  3.  Enter current market value — update this each time you refresh.</t>
  </si>
  <si>
    <t xml:space="preserve">  4.  Gain / (Loss) calculates automatically. Totals update automatically.</t>
  </si>
  <si>
    <t xml:space="preserve">  5.  Financial Position and Operating Budget pull from the Total Securities row — no other changes needed.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</si>
</sst>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\$#,##0"/>
    <numFmt numFmtId="165" formatCode="\$#,##0;&quot;($&quot;#,##0\);\-"/>
    <numFmt numFmtId="166" formatCode="0.0%"/>
    <numFmt numFmtId="167" formatCode="\$#,##0.00"/>
    <numFmt numFmtId="168" formatCode="\$#,##0.00;&quot;($&quot;#,##0.00\);\-"/>
  </numFmts>
  <fonts count="27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sz val="10.0"/>
      <color rgb="FF0D9488"/>
      <name val="Arial"/>
    </font>
    <font>
      <b/>
      <sz val="11.0"/>
      <color rgb="FFFFFFFF"/>
      <name val="Arial"/>
    </font>
    <font>
      <sz val="10.0"/>
      <color rgb="FF1E293B"/>
      <name val="Arial"/>
    </font>
    <font>
      <sz val="10.0"/>
      <color rgb="FF0000FF"/>
      <name val="Arial"/>
    </font>
    <font>
      <i/>
      <sz val="9.0"/>
      <color rgb="FF94A3B8"/>
      <name val="Arial"/>
    </font>
    <font>
      <b/>
      <sz val="10.0"/>
      <color rgb="FF1E293B"/>
      <name val="Arial"/>
    </font>
    <font>
      <b/>
      <sz val="9.0"/>
      <color rgb="FF0D9488"/>
      <name val="Arial"/>
    </font>
    <font>
      <b/>
      <sz val="10.0"/>
      <color rgb="FF115E59"/>
      <name val="Arial"/>
    </font>
    <font>
      <b/>
      <sz val="10.0"/>
      <color rgb="FFDC2626"/>
      <name val="Arial"/>
    </font>
    <font>
      <b/>
      <sz val="9.0"/>
      <color rgb="FF115E59"/>
      <name val="Arial"/>
    </font>
    <font>
      <b/>
      <sz val="9.0"/>
      <color rgb="FF94A3B8"/>
      <name val="Arial"/>
    </font>
    <font>
      <b/>
      <sz val="13.0"/>
      <color rgb="FF0D9488"/>
      <name val="Arial"/>
    </font>
    <font>
      <sz val="13.0"/>
      <color theme="1"/>
      <name val="Calibri"/>
    </font>
    <font>
      <sz val="10.0"/>
      <color rgb="FF666666"/>
      <name val="Arial"/>
    </font>
    <font>
      <sz val="10.0"/>
      <color theme="1"/>
      <name val="Calibri"/>
    </font>
    <font>
      <b/>
      <sz val="10.0"/>
      <color rgb="FFFFFFFF"/>
      <name val="Arial"/>
    </font>
    <font>
      <sz val="10.0"/>
      <color rgb="FF111111"/>
      <name val="Arial"/>
    </font>
    <font>
      <i/>
      <sz val="10.0"/>
      <color rgb="FF666666"/>
      <name val="Arial"/>
    </font>
    <font>
      <b/>
      <sz val="10.0"/>
      <color rgb="FF111111"/>
      <name val="Arial"/>
    </font>
    <font>
      <sz val="10.0"/>
      <color theme="1"/>
      <name val="Arial"/>
    </font>
    <font>
      <b/>
      <sz val="10.0"/>
      <color theme="1"/>
      <name val="Arial"/>
    </font>
    <font>
      <i/>
      <sz val="10.0"/>
      <color rgb="FFFFFFFF"/>
      <name val="Arial"/>
    </font>
    <font>
      <sz val="10.0"/>
      <color rgb="FFDC2626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D9488"/>
        <bgColor rgb="FF0D9488"/>
      </patternFill>
    </fill>
    <fill>
      <patternFill patternType="solid">
        <fgColor rgb="FF115E59"/>
        <bgColor rgb="FF115E59"/>
      </patternFill>
    </fill>
    <fill>
      <patternFill patternType="solid">
        <fgColor rgb="FFF0FDFA"/>
        <bgColor rgb="FFF0FDFA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94A3B8"/>
      </bottom>
    </border>
    <border>
      <left/>
      <right/>
      <top style="medium">
        <color rgb="FF115E59"/>
      </top>
      <bottom style="medium">
        <color rgb="FF115E59"/>
      </bottom>
    </border>
    <border>
      <left/>
      <right/>
      <top/>
      <bottom style="thin">
        <color rgb="FF94A3B8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3" fontId="5" numFmtId="0" xfId="0" applyAlignment="1" applyBorder="1" applyFill="1" applyFont="1">
      <alignment shrinkToFit="0" vertical="center" wrapText="0"/>
    </xf>
    <xf borderId="4" fillId="4" fontId="6" numFmtId="0" xfId="0" applyAlignment="1" applyBorder="1" applyFill="1" applyFont="1">
      <alignment shrinkToFit="0" vertical="bottom" wrapText="0"/>
    </xf>
    <xf borderId="4" fillId="4" fontId="7" numFmtId="1" xfId="0" applyAlignment="1" applyBorder="1" applyFont="1" applyNumberFormat="1">
      <alignment shrinkToFit="0" vertical="bottom" wrapText="0"/>
    </xf>
    <xf borderId="4" fillId="4" fontId="3" numFmtId="0" xfId="0" applyAlignment="1" applyBorder="1" applyFont="1">
      <alignment shrinkToFit="0" vertical="bottom" wrapText="0"/>
    </xf>
    <xf borderId="4" fillId="4" fontId="8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164" xfId="0" applyAlignment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5" fillId="0" fontId="9" numFmtId="0" xfId="0" applyAlignment="1" applyBorder="1" applyFont="1">
      <alignment shrinkToFit="0" vertical="bottom" wrapText="0"/>
    </xf>
    <xf borderId="5" fillId="0" fontId="9" numFmtId="164" xfId="0" applyAlignment="1" applyBorder="1" applyFont="1" applyNumberForma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4" fillId="4" fontId="10" numFmtId="0" xfId="0" applyAlignment="1" applyBorder="1" applyFont="1">
      <alignment shrinkToFit="0" vertical="bottom" wrapText="0"/>
    </xf>
    <xf borderId="4" fillId="5" fontId="6" numFmtId="0" xfId="0" applyAlignment="1" applyBorder="1" applyFill="1" applyFont="1">
      <alignment shrinkToFit="0" vertical="bottom" wrapText="0"/>
    </xf>
    <xf borderId="4" fillId="5" fontId="7" numFmtId="164" xfId="0" applyAlignment="1" applyBorder="1" applyFont="1" applyNumberFormat="1">
      <alignment shrinkToFit="0" vertical="bottom" wrapText="0"/>
    </xf>
    <xf borderId="4" fillId="5" fontId="3" numFmtId="0" xfId="0" applyAlignment="1" applyBorder="1" applyFont="1">
      <alignment shrinkToFit="0" vertical="bottom" wrapText="0"/>
    </xf>
    <xf borderId="4" fillId="5" fontId="8" numFmtId="0" xfId="0" applyAlignment="1" applyBorder="1" applyFont="1">
      <alignment shrinkToFit="0" vertical="bottom" wrapText="0"/>
    </xf>
    <xf borderId="4" fillId="6" fontId="6" numFmtId="0" xfId="0" applyAlignment="1" applyBorder="1" applyFill="1" applyFont="1">
      <alignment shrinkToFit="0" vertical="bottom" wrapText="0"/>
    </xf>
    <xf borderId="4" fillId="6" fontId="7" numFmtId="164" xfId="0" applyAlignment="1" applyBorder="1" applyFont="1" applyNumberFormat="1">
      <alignment shrinkToFit="0" vertical="bottom" wrapText="0"/>
    </xf>
    <xf borderId="4" fillId="6" fontId="3" numFmtId="0" xfId="0" applyAlignment="1" applyBorder="1" applyFont="1">
      <alignment shrinkToFit="0" vertical="bottom" wrapText="0"/>
    </xf>
    <xf borderId="4" fillId="6" fontId="8" numFmtId="0" xfId="0" applyAlignment="1" applyBorder="1" applyFont="1">
      <alignment shrinkToFit="0" vertical="bottom" wrapText="0"/>
    </xf>
    <xf borderId="6" fillId="4" fontId="11" numFmtId="0" xfId="0" applyAlignment="1" applyBorder="1" applyFont="1">
      <alignment shrinkToFit="0" vertical="bottom" wrapText="0"/>
    </xf>
    <xf borderId="6" fillId="4" fontId="11" numFmtId="164" xfId="0" applyAlignment="1" applyBorder="1" applyFont="1" applyNumberFormat="1">
      <alignment shrinkToFit="0" vertical="bottom" wrapText="0"/>
    </xf>
    <xf borderId="6" fillId="4" fontId="3" numFmtId="0" xfId="0" applyAlignment="1" applyBorder="1" applyFont="1">
      <alignment shrinkToFit="0" vertical="bottom" wrapText="0"/>
    </xf>
    <xf borderId="4" fillId="5" fontId="6" numFmtId="164" xfId="0" applyAlignment="1" applyBorder="1" applyFont="1" applyNumberFormat="1">
      <alignment shrinkToFit="0" vertical="bottom" wrapText="0"/>
    </xf>
    <xf borderId="4" fillId="6" fontId="6" numFmtId="164" xfId="0" applyAlignment="1" applyBorder="1" applyFont="1" applyNumberFormat="1">
      <alignment shrinkToFit="0" vertical="bottom" wrapText="0"/>
    </xf>
    <xf borderId="4" fillId="5" fontId="9" numFmtId="0" xfId="0" applyAlignment="1" applyBorder="1" applyFont="1">
      <alignment shrinkToFit="0" vertical="bottom" wrapText="0"/>
    </xf>
    <xf borderId="4" fillId="5" fontId="9" numFmtId="164" xfId="0" applyAlignment="1" applyBorder="1" applyFont="1" applyNumberFormat="1">
      <alignment shrinkToFit="0" vertical="bottom" wrapText="0"/>
    </xf>
    <xf borderId="4" fillId="6" fontId="9" numFmtId="0" xfId="0" applyAlignment="1" applyBorder="1" applyFont="1">
      <alignment shrinkToFit="0" vertical="bottom" wrapText="0"/>
    </xf>
    <xf borderId="4" fillId="6" fontId="9" numFmtId="164" xfId="0" applyAlignment="1" applyBorder="1" applyFont="1" applyNumberFormat="1">
      <alignment shrinkToFit="0" vertical="bottom" wrapText="0"/>
    </xf>
    <xf borderId="7" fillId="5" fontId="11" numFmtId="0" xfId="0" applyAlignment="1" applyBorder="1" applyFont="1">
      <alignment shrinkToFit="0" vertical="bottom" wrapText="0"/>
    </xf>
    <xf borderId="7" fillId="5" fontId="3" numFmtId="0" xfId="0" applyAlignment="1" applyBorder="1" applyFont="1">
      <alignment shrinkToFit="0" vertical="bottom" wrapText="0"/>
    </xf>
    <xf borderId="7" fillId="5" fontId="11" numFmtId="164" xfId="0" applyAlignment="1" applyBorder="1" applyFont="1" applyNumberFormat="1">
      <alignment shrinkToFit="0" vertical="bottom" wrapText="0"/>
    </xf>
    <xf borderId="6" fillId="4" fontId="11" numFmtId="165" xfId="0" applyAlignment="1" applyBorder="1" applyFont="1" applyNumberFormat="1">
      <alignment shrinkToFit="0" vertical="bottom" wrapText="0"/>
    </xf>
    <xf borderId="0" fillId="0" fontId="6" numFmtId="166" xfId="0" applyAlignment="1" applyFont="1" applyNumberFormat="1">
      <alignment shrinkToFit="0" vertical="bottom" wrapText="0"/>
    </xf>
    <xf borderId="0" fillId="0" fontId="6" numFmtId="164" xfId="0" applyAlignment="1" applyFont="1" applyNumberFormat="1">
      <alignment shrinkToFit="0" vertical="bottom" wrapText="0"/>
    </xf>
    <xf borderId="6" fillId="4" fontId="12" numFmtId="0" xfId="0" applyAlignment="1" applyBorder="1" applyFont="1">
      <alignment shrinkToFit="0" vertical="bottom" wrapText="0"/>
    </xf>
    <xf borderId="6" fillId="4" fontId="12" numFmtId="164" xfId="0" applyAlignment="1" applyBorder="1" applyFont="1" applyNumberForma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shrinkToFit="0" vertical="bottom" wrapText="0"/>
    </xf>
    <xf borderId="0" fillId="0" fontId="15" numFmtId="0" xfId="0" applyAlignment="1" applyFont="1">
      <alignment horizontal="left" shrinkToFit="0" vertical="center" wrapText="1"/>
    </xf>
    <xf borderId="0" fillId="0" fontId="16" numFmtId="0" xfId="0" applyAlignment="1" applyFont="1">
      <alignment shrinkToFit="0" vertical="bottom" wrapText="0"/>
    </xf>
    <xf borderId="0" fillId="0" fontId="17" numFmtId="0" xfId="0" applyAlignment="1" applyFont="1">
      <alignment horizontal="left" shrinkToFit="0" vertical="center" wrapText="1"/>
    </xf>
    <xf borderId="0" fillId="0" fontId="18" numFmtId="0" xfId="0" applyAlignment="1" applyFont="1">
      <alignment shrinkToFit="0" vertical="bottom" wrapText="0"/>
    </xf>
    <xf borderId="1" fillId="2" fontId="19" numFmtId="0" xfId="0" applyAlignment="1" applyBorder="1" applyFont="1">
      <alignment horizontal="left" shrinkToFit="0" vertical="center" wrapText="1"/>
    </xf>
    <xf borderId="0" fillId="0" fontId="20" numFmtId="0" xfId="0" applyAlignment="1" applyFont="1">
      <alignment horizontal="left" shrinkToFit="0" vertical="center" wrapText="1"/>
    </xf>
    <xf borderId="0" fillId="0" fontId="20" numFmtId="167" xfId="0" applyAlignment="1" applyFont="1" applyNumberFormat="1">
      <alignment horizontal="right" shrinkToFit="0" vertical="center" wrapText="1"/>
    </xf>
    <xf borderId="0" fillId="0" fontId="21" numFmtId="0" xfId="0" applyAlignment="1" applyFont="1">
      <alignment horizontal="left" shrinkToFit="0" vertical="center" wrapText="1"/>
    </xf>
    <xf borderId="0" fillId="0" fontId="17" numFmtId="167" xfId="0" applyAlignment="1" applyFont="1" applyNumberFormat="1">
      <alignment horizontal="right" shrinkToFit="0" vertical="center" wrapText="1"/>
    </xf>
    <xf borderId="4" fillId="4" fontId="22" numFmtId="0" xfId="0" applyAlignment="1" applyBorder="1" applyFont="1">
      <alignment horizontal="left" shrinkToFit="0" vertical="center" wrapText="1"/>
    </xf>
    <xf borderId="4" fillId="4" fontId="22" numFmtId="167" xfId="0" applyAlignment="1" applyBorder="1" applyFont="1" applyNumberFormat="1">
      <alignment horizontal="right" shrinkToFit="0" vertical="center" wrapText="1"/>
    </xf>
    <xf borderId="4" fillId="2" fontId="19" numFmtId="0" xfId="0" applyAlignment="1" applyBorder="1" applyFont="1">
      <alignment horizontal="left" shrinkToFit="0" vertical="center" wrapText="1"/>
    </xf>
    <xf borderId="4" fillId="2" fontId="18" numFmtId="0" xfId="0" applyAlignment="1" applyBorder="1" applyFont="1">
      <alignment shrinkToFit="0" vertical="bottom" wrapText="0"/>
    </xf>
    <xf borderId="0" fillId="0" fontId="23" numFmtId="0" xfId="0" applyAlignment="1" applyFont="1">
      <alignment horizontal="left" shrinkToFit="0" vertical="center" wrapText="0"/>
    </xf>
    <xf borderId="4" fillId="4" fontId="24" numFmtId="166" xfId="0" applyAlignment="1" applyBorder="1" applyFont="1" applyNumberFormat="1">
      <alignment horizontal="right" shrinkToFit="0" vertical="bottom" wrapText="0"/>
    </xf>
    <xf borderId="4" fillId="2" fontId="25" numFmtId="0" xfId="0" applyAlignment="1" applyBorder="1" applyFont="1">
      <alignment horizontal="left" shrinkToFit="0" vertical="center" wrapText="1"/>
    </xf>
    <xf borderId="0" fillId="0" fontId="20" numFmtId="0" xfId="0" applyAlignment="1" applyFont="1">
      <alignment horizontal="left" readingOrder="0" shrinkToFit="0" vertical="center" wrapText="1"/>
    </xf>
    <xf borderId="4" fillId="4" fontId="10" numFmtId="0" xfId="0" applyAlignment="1" applyBorder="1" applyFont="1">
      <alignment horizontal="left" shrinkToFit="0" vertical="bottom" wrapText="0"/>
    </xf>
    <xf borderId="4" fillId="4" fontId="10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4" fillId="5" fontId="6" numFmtId="165" xfId="0" applyAlignment="1" applyBorder="1" applyFont="1" applyNumberFormat="1">
      <alignment shrinkToFit="0" vertical="bottom" wrapText="0"/>
    </xf>
    <xf borderId="4" fillId="6" fontId="6" numFmtId="165" xfId="0" applyAlignment="1" applyBorder="1" applyFont="1" applyNumberFormat="1">
      <alignment shrinkToFit="0" vertical="bottom" wrapText="0"/>
    </xf>
    <xf borderId="4" fillId="4" fontId="11" numFmtId="0" xfId="0" applyAlignment="1" applyBorder="1" applyFont="1">
      <alignment shrinkToFit="0" vertical="bottom" wrapText="0"/>
    </xf>
    <xf borderId="4" fillId="4" fontId="11" numFmtId="165" xfId="0" applyAlignment="1" applyBorder="1" applyFont="1" applyNumberFormat="1">
      <alignment shrinkToFit="0" vertical="bottom" wrapText="0"/>
    </xf>
    <xf borderId="0" fillId="0" fontId="8" numFmtId="0" xfId="0" applyAlignment="1" applyFont="1">
      <alignment shrinkToFit="0" vertical="bottom" wrapText="1"/>
    </xf>
    <xf borderId="4" fillId="5" fontId="7" numFmtId="167" xfId="0" applyAlignment="1" applyBorder="1" applyFont="1" applyNumberFormat="1">
      <alignment shrinkToFit="0" vertical="bottom" wrapText="0"/>
    </xf>
    <xf borderId="4" fillId="5" fontId="26" numFmtId="168" xfId="0" applyAlignment="1" applyBorder="1" applyFont="1" applyNumberFormat="1">
      <alignment shrinkToFit="0" vertical="bottom" wrapText="0"/>
    </xf>
    <xf borderId="4" fillId="6" fontId="7" numFmtId="167" xfId="0" applyAlignment="1" applyBorder="1" applyFont="1" applyNumberFormat="1">
      <alignment shrinkToFit="0" vertical="bottom" wrapText="0"/>
    </xf>
    <xf borderId="4" fillId="6" fontId="26" numFmtId="168" xfId="0" applyAlignment="1" applyBorder="1" applyFont="1" applyNumberFormat="1">
      <alignment shrinkToFit="0" vertical="bottom" wrapText="0"/>
    </xf>
    <xf borderId="6" fillId="4" fontId="11" numFmtId="167" xfId="0" applyAlignment="1" applyBorder="1" applyFont="1" applyNumberFormat="1">
      <alignment shrinkToFit="0" vertical="bottom" wrapText="0"/>
    </xf>
    <xf borderId="6" fillId="4" fontId="11" numFmtId="168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0.0"/>
    <col customWidth="1" min="2" max="4" width="18.0"/>
    <col customWidth="1" min="5" max="5" width="45.71"/>
    <col customWidth="1" min="6" max="6" width="8.71"/>
  </cols>
  <sheetData>
    <row r="1" ht="36.0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5" t="s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7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5.5" customHeight="1">
      <c r="A4" s="6" t="s">
        <v>2</v>
      </c>
      <c r="B4" s="2"/>
      <c r="C4" s="2"/>
      <c r="D4" s="2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7" t="s">
        <v>3</v>
      </c>
      <c r="B5" s="8">
        <v>50.0</v>
      </c>
      <c r="C5" s="9"/>
      <c r="D5" s="9"/>
      <c r="E5" s="10" t="s">
        <v>4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11" t="s">
        <v>5</v>
      </c>
      <c r="B6" s="12">
        <v>2500.0</v>
      </c>
      <c r="C6" s="4"/>
      <c r="D6" s="4"/>
      <c r="E6" s="13" t="s">
        <v>6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14" t="s">
        <v>7</v>
      </c>
      <c r="B7" s="15">
        <f>B5*B6</f>
        <v>125000</v>
      </c>
      <c r="C7" s="16"/>
      <c r="D7" s="16"/>
      <c r="E7" s="16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7.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5.5" customHeight="1">
      <c r="A9" s="6" t="s">
        <v>8</v>
      </c>
      <c r="B9" s="2"/>
      <c r="C9" s="2"/>
      <c r="D9" s="2"/>
      <c r="E9" s="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7" t="s">
        <v>9</v>
      </c>
      <c r="B10" s="17" t="s">
        <v>10</v>
      </c>
      <c r="C10" s="17"/>
      <c r="D10" s="17"/>
      <c r="E10" s="17" t="s">
        <v>11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8" t="s">
        <v>12</v>
      </c>
      <c r="B11" s="19">
        <v>23873.3</v>
      </c>
      <c r="C11" s="20"/>
      <c r="D11" s="20"/>
      <c r="E11" s="21" t="s">
        <v>13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22" t="s">
        <v>14</v>
      </c>
      <c r="B12" s="23">
        <f>'Securities Detail'!E11</f>
        <v>17400.96</v>
      </c>
      <c r="C12" s="24"/>
      <c r="D12" s="24"/>
      <c r="E12" s="25" t="s">
        <v>15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18" t="s">
        <v>16</v>
      </c>
      <c r="B13" s="19">
        <v>100000.0</v>
      </c>
      <c r="C13" s="20"/>
      <c r="D13" s="20"/>
      <c r="E13" s="21" t="s">
        <v>17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26" t="s">
        <v>18</v>
      </c>
      <c r="B14" s="27">
        <f>SUM(B11:B13)</f>
        <v>141274.26</v>
      </c>
      <c r="C14" s="28"/>
      <c r="D14" s="28"/>
      <c r="E14" s="28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7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5.5" customHeight="1">
      <c r="A16" s="6" t="s">
        <v>19</v>
      </c>
      <c r="B16" s="2"/>
      <c r="C16" s="2"/>
      <c r="D16" s="2"/>
      <c r="E16" s="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17" t="s">
        <v>20</v>
      </c>
      <c r="B17" s="17" t="s">
        <v>21</v>
      </c>
      <c r="C17" s="17" t="s">
        <v>22</v>
      </c>
      <c r="D17" s="17"/>
      <c r="E17" s="17" t="s">
        <v>11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18" t="s">
        <v>23</v>
      </c>
      <c r="B18" s="19">
        <v>750.0</v>
      </c>
      <c r="C18" s="29">
        <f t="shared" ref="C18:C21" si="1">B18*$B$5</f>
        <v>37500</v>
      </c>
      <c r="D18" s="20"/>
      <c r="E18" s="21" t="s">
        <v>24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22" t="s">
        <v>25</v>
      </c>
      <c r="B19" s="23">
        <v>1500.0</v>
      </c>
      <c r="C19" s="30">
        <f t="shared" si="1"/>
        <v>75000</v>
      </c>
      <c r="D19" s="24"/>
      <c r="E19" s="25" t="s">
        <v>26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18" t="s">
        <v>27</v>
      </c>
      <c r="B20" s="19">
        <v>150.0</v>
      </c>
      <c r="C20" s="29">
        <f t="shared" si="1"/>
        <v>7500</v>
      </c>
      <c r="D20" s="20"/>
      <c r="E20" s="21" t="s">
        <v>28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22" t="s">
        <v>29</v>
      </c>
      <c r="B21" s="23">
        <v>100.0</v>
      </c>
      <c r="C21" s="30">
        <f t="shared" si="1"/>
        <v>5000</v>
      </c>
      <c r="D21" s="24"/>
      <c r="E21" s="25" t="s">
        <v>30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14" t="s">
        <v>31</v>
      </c>
      <c r="B22" s="15">
        <f t="shared" ref="B22:C22" si="2">SUM(B18:B21)</f>
        <v>2500</v>
      </c>
      <c r="C22" s="15">
        <f t="shared" si="2"/>
        <v>125000</v>
      </c>
      <c r="D22" s="16"/>
      <c r="E22" s="16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7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5.5" customHeight="1">
      <c r="A24" s="6" t="s">
        <v>32</v>
      </c>
      <c r="B24" s="2"/>
      <c r="C24" s="2"/>
      <c r="D24" s="2"/>
      <c r="E24" s="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17" t="s">
        <v>20</v>
      </c>
      <c r="B25" s="17"/>
      <c r="C25" s="17" t="s">
        <v>33</v>
      </c>
      <c r="D25" s="17"/>
      <c r="E25" s="17" t="s">
        <v>11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18" t="s">
        <v>34</v>
      </c>
      <c r="B26" s="20"/>
      <c r="C26" s="19">
        <v>282.0</v>
      </c>
      <c r="D26" s="20"/>
      <c r="E26" s="21" t="s">
        <v>35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0" customHeight="1">
      <c r="A27" s="22" t="s">
        <v>36</v>
      </c>
      <c r="B27" s="24"/>
      <c r="C27" s="23">
        <v>100.0</v>
      </c>
      <c r="D27" s="24"/>
      <c r="E27" s="25" t="s">
        <v>37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0" customHeight="1">
      <c r="A28" s="18" t="s">
        <v>38</v>
      </c>
      <c r="B28" s="20"/>
      <c r="C28" s="19">
        <v>100.0</v>
      </c>
      <c r="D28" s="20"/>
      <c r="E28" s="21" t="s">
        <v>39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0" customHeight="1">
      <c r="A29" s="22" t="s">
        <v>40</v>
      </c>
      <c r="B29" s="24"/>
      <c r="C29" s="23">
        <v>1200.0</v>
      </c>
      <c r="D29" s="24"/>
      <c r="E29" s="25" t="s">
        <v>41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0" customHeight="1">
      <c r="A30" s="18" t="s">
        <v>42</v>
      </c>
      <c r="B30" s="20"/>
      <c r="C30" s="19">
        <v>25.0</v>
      </c>
      <c r="D30" s="20"/>
      <c r="E30" s="21" t="s">
        <v>43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14" t="s">
        <v>44</v>
      </c>
      <c r="B31" s="16"/>
      <c r="C31" s="15">
        <f>SUM(C26:C30)</f>
        <v>1707</v>
      </c>
      <c r="D31" s="16"/>
      <c r="E31" s="16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7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5.5" customHeight="1">
      <c r="A33" s="6" t="s">
        <v>45</v>
      </c>
      <c r="B33" s="2"/>
      <c r="C33" s="2"/>
      <c r="D33" s="2"/>
      <c r="E33" s="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0" customHeight="1">
      <c r="A34" s="31" t="s">
        <v>46</v>
      </c>
      <c r="B34" s="20"/>
      <c r="C34" s="32">
        <f>C22</f>
        <v>125000</v>
      </c>
      <c r="D34" s="20"/>
      <c r="E34" s="20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0" customHeight="1">
      <c r="A35" s="33" t="s">
        <v>47</v>
      </c>
      <c r="B35" s="24"/>
      <c r="C35" s="34">
        <f>C31</f>
        <v>1707</v>
      </c>
      <c r="D35" s="24"/>
      <c r="E35" s="2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0" customHeight="1">
      <c r="A36" s="35" t="s">
        <v>48</v>
      </c>
      <c r="B36" s="36"/>
      <c r="C36" s="37">
        <f>C34+C35</f>
        <v>126707</v>
      </c>
      <c r="D36" s="36"/>
      <c r="E36" s="36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0" customHeight="1">
      <c r="A37" s="33" t="s">
        <v>49</v>
      </c>
      <c r="B37" s="24"/>
      <c r="C37" s="34">
        <f>B14</f>
        <v>141274.26</v>
      </c>
      <c r="D37" s="24"/>
      <c r="E37" s="2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0" customHeight="1">
      <c r="A38" s="26" t="s">
        <v>50</v>
      </c>
      <c r="B38" s="28"/>
      <c r="C38" s="38">
        <f>C37-C36</f>
        <v>14567.26</v>
      </c>
      <c r="D38" s="28"/>
      <c r="E38" s="28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7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0" customHeight="1">
      <c r="A40" s="11" t="s">
        <v>51</v>
      </c>
      <c r="B40" s="4"/>
      <c r="C40" s="39">
        <f>IF(C36&gt;0,C34/C36,0)</f>
        <v>0.986527974</v>
      </c>
      <c r="D40" s="4"/>
      <c r="E40" s="13" t="s">
        <v>52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11" t="s">
        <v>53</v>
      </c>
      <c r="B41" s="4"/>
      <c r="C41" s="40">
        <f>IF(B5&gt;0,C36/B5,0)</f>
        <v>2534.14</v>
      </c>
      <c r="D41" s="4"/>
      <c r="E41" s="13" t="s">
        <v>54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7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5.5" customHeight="1">
      <c r="A43" s="6" t="s">
        <v>55</v>
      </c>
      <c r="B43" s="2"/>
      <c r="C43" s="2"/>
      <c r="D43" s="2"/>
      <c r="E43" s="3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18" t="s">
        <v>56</v>
      </c>
      <c r="B44" s="20"/>
      <c r="C44" s="32">
        <f>C36</f>
        <v>126707</v>
      </c>
      <c r="D44" s="20"/>
      <c r="E44" s="20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0" customHeight="1">
      <c r="A45" s="22" t="s">
        <v>57</v>
      </c>
      <c r="B45" s="24"/>
      <c r="C45" s="34">
        <f>B11+B12</f>
        <v>41274.26</v>
      </c>
      <c r="D45" s="24"/>
      <c r="E45" s="2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41" t="s">
        <v>58</v>
      </c>
      <c r="B46" s="28"/>
      <c r="C46" s="42">
        <f>C44-C45</f>
        <v>85432.74</v>
      </c>
      <c r="D46" s="28"/>
      <c r="E46" s="28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0" customHeight="1">
      <c r="A47" s="43" t="s">
        <v>59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7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44" t="s">
        <v>11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0" customHeight="1">
      <c r="A50" s="13" t="s">
        <v>60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0" customHeight="1">
      <c r="A51" s="13" t="s">
        <v>61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0" customHeight="1">
      <c r="A52" s="13" t="s">
        <v>62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0" customHeight="1">
      <c r="A53" s="13" t="s">
        <v>63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4">
    <mergeCell ref="A43:E43"/>
    <mergeCell ref="A47:E47"/>
    <mergeCell ref="A49:E49"/>
    <mergeCell ref="A50:E50"/>
    <mergeCell ref="A51:E51"/>
    <mergeCell ref="A52:E52"/>
    <mergeCell ref="A53:E53"/>
    <mergeCell ref="A1:E1"/>
    <mergeCell ref="A2:E2"/>
    <mergeCell ref="A4:E4"/>
    <mergeCell ref="A9:E9"/>
    <mergeCell ref="A16:E16"/>
    <mergeCell ref="A24:E24"/>
    <mergeCell ref="A33:E3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2.0"/>
    <col customWidth="1" min="2" max="3" width="16.0"/>
    <col customWidth="1" min="4" max="4" width="29.0"/>
    <col customWidth="1" min="5" max="5" width="32.0"/>
    <col customWidth="1" min="6" max="6" width="8.71"/>
  </cols>
  <sheetData>
    <row r="1" ht="21.75" customHeight="1">
      <c r="A1" s="45" t="s">
        <v>0</v>
      </c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ht="15.75" customHeight="1">
      <c r="A2" s="47" t="s">
        <v>64</v>
      </c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ht="7.5" customHeight="1">
      <c r="A3" s="48"/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ht="18.0" customHeight="1">
      <c r="A4" s="49" t="s">
        <v>65</v>
      </c>
      <c r="B4" s="2"/>
      <c r="C4" s="2"/>
      <c r="D4" s="2"/>
      <c r="E4" s="3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ht="15.0" customHeight="1">
      <c r="A5" s="50" t="s">
        <v>66</v>
      </c>
      <c r="B5" s="51">
        <v>23873.3</v>
      </c>
      <c r="C5" s="48"/>
      <c r="D5" s="52" t="s">
        <v>67</v>
      </c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ht="15.0" customHeight="1">
      <c r="A6" s="50" t="s">
        <v>14</v>
      </c>
      <c r="B6" s="51">
        <f>'Securities Detail'!E11</f>
        <v>17400.96</v>
      </c>
      <c r="C6" s="48"/>
      <c r="D6" s="52" t="s">
        <v>68</v>
      </c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ht="15.0" customHeight="1">
      <c r="A7" s="50" t="s">
        <v>69</v>
      </c>
      <c r="B7" s="53">
        <f>'Securities Detail'!F11</f>
        <v>466.46</v>
      </c>
      <c r="C7" s="48"/>
      <c r="D7" s="52" t="s">
        <v>70</v>
      </c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ht="18.0" customHeight="1">
      <c r="A8" s="54" t="s">
        <v>71</v>
      </c>
      <c r="B8" s="55">
        <f>SUM(B5:B6)</f>
        <v>41274.26</v>
      </c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ht="7.5" customHeight="1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ht="18.0" customHeight="1">
      <c r="A10" s="56" t="s">
        <v>72</v>
      </c>
      <c r="B10" s="57"/>
      <c r="C10" s="57"/>
      <c r="D10" s="57"/>
      <c r="E10" s="57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 ht="15.0" customHeight="1">
      <c r="A11" s="50" t="s">
        <v>73</v>
      </c>
      <c r="B11" s="51">
        <f>'Monthly Tracker'!O22-'Monthly Tracker'!O21</f>
        <v>1384.12</v>
      </c>
      <c r="C11" s="48"/>
      <c r="D11" s="52" t="s">
        <v>74</v>
      </c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ht="7.5" customHeight="1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ht="18.0" customHeight="1">
      <c r="A13" s="49" t="s">
        <v>75</v>
      </c>
      <c r="B13" s="2"/>
      <c r="C13" s="2"/>
      <c r="D13" s="2"/>
      <c r="E13" s="3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 ht="15.0" customHeight="1">
      <c r="A14" s="50" t="s">
        <v>76</v>
      </c>
      <c r="B14" s="51">
        <f>B8</f>
        <v>41274.26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ht="15.0" customHeight="1">
      <c r="A15" s="50" t="s">
        <v>77</v>
      </c>
      <c r="B15" s="51">
        <f>B11</f>
        <v>1384.12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ht="18.0" customHeight="1">
      <c r="A16" s="54" t="s">
        <v>78</v>
      </c>
      <c r="B16" s="55">
        <f>B14-B15</f>
        <v>39890.14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ht="7.5" customHeight="1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 ht="18.0" customHeight="1">
      <c r="A18" s="56" t="s">
        <v>79</v>
      </c>
      <c r="B18" s="57"/>
      <c r="C18" s="57"/>
      <c r="D18" s="57"/>
      <c r="E18" s="57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 ht="15.0" customHeight="1">
      <c r="A19" s="50" t="s">
        <v>80</v>
      </c>
      <c r="B19" s="51">
        <f>'Monthly Tracker'!O6+'Monthly Tracker'!O7</f>
        <v>8350</v>
      </c>
      <c r="C19" s="48"/>
      <c r="D19" s="52" t="s">
        <v>81</v>
      </c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 ht="15.0" customHeight="1">
      <c r="A20" s="50" t="s">
        <v>82</v>
      </c>
      <c r="B20" s="51">
        <f>'Monthly Tracker'!O8</f>
        <v>120.98</v>
      </c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ht="12.75" customHeight="1">
      <c r="A21" s="50" t="s">
        <v>16</v>
      </c>
      <c r="B21" s="51">
        <v>100000.0</v>
      </c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ht="25.5" customHeight="1">
      <c r="A22" s="58" t="s">
        <v>83</v>
      </c>
      <c r="B22" s="59">
        <f>B19/B21</f>
        <v>0.0835</v>
      </c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ht="7.5" customHeight="1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ht="30.75" customHeight="1">
      <c r="A24" s="56" t="s">
        <v>84</v>
      </c>
      <c r="B24" s="57"/>
      <c r="C24" s="57"/>
      <c r="D24" s="60" t="s">
        <v>85</v>
      </c>
      <c r="E24" s="57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ht="15.0" customHeight="1">
      <c r="A25" s="61" t="s">
        <v>86</v>
      </c>
      <c r="B25" s="51">
        <v>7500.0</v>
      </c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ht="18.75" customHeight="1">
      <c r="A26" s="50" t="s">
        <v>87</v>
      </c>
      <c r="B26" s="51">
        <v>5000.0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>
      <c r="A27" s="54" t="s">
        <v>88</v>
      </c>
      <c r="B27" s="55">
        <f>'Monthly Tracker'!O9</f>
        <v>12500</v>
      </c>
      <c r="C27" s="48"/>
      <c r="D27" s="52" t="s">
        <v>89</v>
      </c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ht="7.5" customHeight="1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ht="22.5" customHeight="1">
      <c r="A29" s="56" t="s">
        <v>90</v>
      </c>
      <c r="B29" s="57"/>
      <c r="C29" s="57"/>
      <c r="D29" s="57"/>
      <c r="E29" s="57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ht="15.0" customHeight="1">
      <c r="A30" s="47" t="s">
        <v>91</v>
      </c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ht="15.0" customHeight="1">
      <c r="A31" s="47" t="s">
        <v>92</v>
      </c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ht="15.0" customHeight="1">
      <c r="A32" s="47" t="s">
        <v>93</v>
      </c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ht="15.0" customHeight="1">
      <c r="A33" s="47" t="s">
        <v>94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ht="15.0" customHeight="1">
      <c r="A34" s="47" t="s">
        <v>95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ht="15.0" customHeight="1">
      <c r="A35" s="47" t="s">
        <v>96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ht="15.75" customHeight="1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ht="15.75" customHeight="1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ht="15.75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ht="15.75" customHeight="1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ht="15.75" customHeight="1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ht="15.75" customHeight="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ht="15.75" customHeight="1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ht="15.75" customHeight="1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ht="15.75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ht="15.75" customHeight="1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ht="15.75" customHeight="1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ht="15.75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ht="15.75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ht="15.75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ht="15.75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ht="15.75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ht="15.75" customHeight="1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ht="15.75" customHeight="1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ht="15.75" customHeight="1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ht="15.75" customHeight="1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ht="15.75" customHeight="1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ht="15.75" customHeight="1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ht="15.75" customHeight="1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ht="15.75" customHeight="1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ht="15.75" customHeight="1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ht="15.75" customHeight="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ht="15.75" customHeight="1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ht="15.75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ht="15.75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ht="15.75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ht="15.75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ht="15.75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ht="15.75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ht="15.75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ht="15.75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ht="15.75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ht="15.75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ht="15.7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ht="15.75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ht="15.75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ht="15.75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ht="15.75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ht="15.75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ht="15.75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ht="15.75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ht="15.75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ht="15.75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ht="15.75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ht="15.75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ht="15.75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ht="15.75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ht="15.75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ht="15.75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ht="15.75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ht="15.75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ht="15.75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ht="15.75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ht="15.75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ht="15.75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ht="15.75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ht="15.75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ht="15.75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ht="15.75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ht="15.75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ht="15.75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ht="15.75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ht="15.75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ht="15.75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ht="15.75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ht="15.75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ht="15.75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ht="15.75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ht="15.75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ht="15.75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ht="15.75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ht="15.75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ht="15.75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ht="15.75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ht="15.75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ht="15.75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ht="15.75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ht="15.75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ht="15.75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ht="15.75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ht="15.75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ht="15.75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ht="15.75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ht="15.75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ht="15.75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ht="15.75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ht="15.75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ht="15.75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ht="15.75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ht="15.75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ht="15.75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ht="15.75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ht="15.75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ht="15.75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ht="15.75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ht="15.75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ht="15.75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ht="15.75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ht="15.75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ht="15.75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ht="15.75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ht="15.75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ht="15.75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ht="15.75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ht="15.75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ht="15.75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ht="15.75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ht="15.75" customHeight="1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ht="15.75" customHeight="1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ht="15.75" customHeight="1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ht="15.75" customHeight="1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ht="15.75" customHeight="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ht="15.75" customHeight="1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ht="15.75" customHeight="1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ht="15.75" customHeight="1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ht="15.75" customHeight="1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ht="15.75" customHeight="1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ht="15.75" customHeight="1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ht="15.75" customHeight="1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ht="15.75" customHeight="1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ht="15.75" customHeight="1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ht="15.75" customHeight="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ht="15.75" customHeight="1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ht="15.75" customHeight="1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ht="15.75" customHeight="1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ht="15.75" customHeight="1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ht="15.75" customHeight="1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ht="15.75" customHeight="1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ht="15.75" customHeight="1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ht="15.75" customHeight="1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ht="15.75" customHeight="1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ht="15.75" customHeight="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ht="15.75" customHeight="1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ht="15.75" customHeight="1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ht="15.75" customHeight="1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ht="15.75" customHeight="1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ht="15.75" customHeight="1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ht="15.75" customHeight="1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ht="15.75" customHeight="1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ht="15.75" customHeight="1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ht="15.75" customHeight="1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ht="15.75" customHeight="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ht="15.75" customHeight="1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ht="15.75" customHeight="1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ht="15.75" customHeight="1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ht="15.75" customHeight="1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ht="15.75" customHeight="1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ht="15.75" customHeight="1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ht="15.75" customHeight="1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ht="15.75" customHeight="1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ht="15.75" customHeight="1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ht="15.75" customHeight="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ht="15.75" customHeight="1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ht="15.75" customHeight="1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ht="15.75" customHeight="1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ht="15.75" customHeight="1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ht="15.75" customHeight="1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ht="15.75" customHeight="1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ht="15.75" customHeight="1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ht="15.75" customHeight="1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ht="15.75" customHeight="1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ht="15.75" customHeight="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ht="15.75" customHeight="1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ht="15.75" customHeight="1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ht="15.75" customHeight="1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ht="15.75" customHeight="1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ht="15.75" customHeight="1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ht="15.75" customHeight="1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ht="15.75" customHeight="1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ht="15.75" customHeight="1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ht="15.75" customHeight="1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ht="15.75" customHeight="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ht="15.75" customHeight="1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ht="15.75" customHeight="1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ht="15.75" customHeight="1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ht="15.75" customHeight="1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ht="15.75" customHeight="1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ht="15.75" customHeight="1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ht="15.75" customHeight="1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ht="15.75" customHeight="1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ht="15.75" customHeight="1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ht="15.75" customHeight="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ht="15.75" customHeight="1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ht="15.75" customHeight="1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ht="15.75" customHeight="1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ht="15.75" customHeight="1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ht="15.75" customHeight="1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ht="15.75" customHeight="1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ht="15.75" customHeight="1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ht="15.75" customHeight="1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ht="15.75" customHeight="1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ht="15.75" customHeight="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ht="15.75" customHeight="1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ht="15.75" customHeight="1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ht="15.75" customHeight="1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ht="15.75" customHeight="1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ht="15.75" customHeight="1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ht="15.75" customHeight="1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ht="15.75" customHeight="1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ht="15.75" customHeight="1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ht="15.75" customHeight="1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ht="15.75" customHeight="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ht="15.75" customHeight="1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ht="15.75" customHeight="1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ht="15.75" customHeight="1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ht="15.75" customHeight="1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ht="15.75" customHeight="1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ht="15.75" customHeight="1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ht="15.75" customHeight="1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ht="15.75" customHeight="1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ht="15.75" customHeight="1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ht="15.75" customHeight="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ht="15.75" customHeight="1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ht="15.75" customHeight="1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ht="15.75" customHeight="1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ht="15.75" customHeight="1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ht="15.75" customHeight="1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ht="15.75" customHeight="1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ht="15.75" customHeight="1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ht="15.75" customHeight="1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ht="15.75" customHeight="1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ht="15.75" customHeight="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ht="15.75" customHeight="1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ht="15.75" customHeight="1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ht="15.75" customHeight="1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ht="15.75" customHeight="1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ht="15.75" customHeight="1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ht="15.75" customHeight="1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ht="15.75" customHeight="1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ht="15.75" customHeight="1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ht="15.75" customHeight="1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ht="15.75" customHeight="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ht="15.75" customHeight="1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ht="15.75" customHeight="1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ht="15.75" customHeight="1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ht="15.75" customHeight="1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ht="15.75" customHeight="1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ht="15.75" customHeight="1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ht="15.75" customHeight="1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ht="15.75" customHeight="1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ht="15.75" customHeight="1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ht="15.75" customHeight="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ht="15.75" customHeight="1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ht="15.75" customHeight="1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ht="15.75" customHeight="1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ht="15.75" customHeight="1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ht="15.75" customHeight="1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ht="15.75" customHeight="1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ht="15.75" customHeight="1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ht="15.75" customHeight="1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ht="15.75" customHeight="1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ht="15.75" customHeight="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ht="15.75" customHeight="1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ht="15.75" customHeight="1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ht="15.75" customHeight="1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ht="15.75" customHeight="1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ht="15.75" customHeight="1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ht="15.75" customHeight="1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ht="15.75" customHeight="1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ht="15.75" customHeight="1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ht="15.75" customHeight="1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ht="15.75" customHeight="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ht="15.75" customHeight="1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ht="15.75" customHeight="1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ht="15.75" customHeight="1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ht="15.75" customHeight="1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ht="15.75" customHeight="1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ht="15.75" customHeight="1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ht="15.75" customHeight="1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ht="15.75" customHeight="1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ht="15.75" customHeight="1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ht="15.75" customHeight="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ht="15.75" customHeight="1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ht="15.75" customHeight="1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ht="15.75" customHeight="1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ht="15.75" customHeight="1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ht="15.75" customHeight="1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ht="15.75" customHeight="1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ht="15.75" customHeight="1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ht="15.75" customHeight="1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ht="15.75" customHeight="1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ht="15.75" customHeight="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ht="15.75" customHeight="1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ht="15.75" customHeight="1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ht="15.75" customHeight="1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ht="15.75" customHeight="1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ht="15.75" customHeight="1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ht="15.75" customHeight="1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ht="15.75" customHeight="1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ht="15.75" customHeight="1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ht="15.75" customHeight="1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ht="15.75" customHeight="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ht="15.75" customHeight="1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ht="15.75" customHeight="1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ht="15.75" customHeight="1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ht="15.75" customHeight="1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ht="15.75" customHeight="1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ht="15.75" customHeight="1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ht="15.75" customHeight="1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ht="15.75" customHeight="1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ht="15.75" customHeight="1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ht="15.75" customHeight="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ht="15.75" customHeight="1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ht="15.75" customHeight="1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ht="15.75" customHeight="1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ht="15.75" customHeight="1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ht="15.75" customHeight="1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ht="15.75" customHeight="1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ht="15.75" customHeight="1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ht="15.75" customHeight="1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ht="15.75" customHeight="1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ht="15.75" customHeight="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ht="15.75" customHeight="1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ht="15.75" customHeight="1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ht="15.75" customHeight="1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ht="15.75" customHeight="1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ht="15.75" customHeight="1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ht="15.75" customHeight="1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ht="15.75" customHeight="1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ht="15.75" customHeight="1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ht="15.75" customHeight="1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ht="15.75" customHeight="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ht="15.75" customHeight="1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ht="15.75" customHeight="1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ht="15.75" customHeight="1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ht="15.75" customHeight="1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ht="15.75" customHeight="1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ht="15.75" customHeight="1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ht="15.75" customHeight="1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ht="15.75" customHeight="1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ht="15.75" customHeight="1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ht="15.75" customHeight="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ht="15.75" customHeight="1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ht="15.75" customHeight="1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ht="15.75" customHeight="1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ht="15.75" customHeight="1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ht="15.75" customHeight="1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ht="15.75" customHeight="1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ht="15.75" customHeight="1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ht="15.75" customHeight="1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ht="15.75" customHeight="1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ht="15.75" customHeight="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ht="15.75" customHeight="1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ht="15.75" customHeight="1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ht="15.75" customHeight="1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ht="15.75" customHeight="1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ht="15.75" customHeight="1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ht="15.75" customHeight="1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ht="15.75" customHeight="1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ht="15.75" customHeight="1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ht="15.75" customHeight="1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ht="15.75" customHeight="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ht="15.75" customHeight="1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ht="15.75" customHeight="1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ht="15.75" customHeight="1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ht="15.75" customHeight="1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ht="15.75" customHeight="1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ht="15.75" customHeight="1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ht="15.75" customHeight="1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ht="15.75" customHeight="1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ht="15.75" customHeight="1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ht="15.75" customHeight="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ht="15.75" customHeight="1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ht="15.75" customHeight="1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ht="15.75" customHeight="1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ht="15.75" customHeight="1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ht="15.75" customHeight="1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ht="15.75" customHeight="1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ht="15.75" customHeight="1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ht="15.75" customHeight="1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ht="15.75" customHeight="1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ht="15.75" customHeight="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ht="15.75" customHeight="1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ht="15.75" customHeight="1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ht="15.75" customHeight="1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ht="15.75" customHeight="1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ht="15.75" customHeight="1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ht="15.75" customHeight="1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ht="15.75" customHeight="1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ht="15.75" customHeight="1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ht="15.75" customHeight="1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ht="15.75" customHeight="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ht="15.75" customHeight="1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ht="15.75" customHeight="1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ht="15.75" customHeight="1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ht="15.75" customHeight="1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ht="15.75" customHeight="1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ht="15.75" customHeight="1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ht="15.75" customHeight="1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ht="15.75" customHeight="1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ht="15.75" customHeight="1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ht="15.75" customHeight="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ht="15.75" customHeight="1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ht="15.75" customHeight="1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ht="15.75" customHeight="1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ht="15.75" customHeight="1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ht="15.75" customHeight="1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ht="15.75" customHeight="1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ht="15.75" customHeight="1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ht="15.75" customHeight="1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ht="15.75" customHeight="1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ht="15.75" customHeight="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ht="15.75" customHeight="1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ht="15.75" customHeight="1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ht="15.75" customHeight="1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ht="15.75" customHeight="1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ht="15.75" customHeight="1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ht="15.75" customHeight="1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ht="15.75" customHeight="1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ht="15.75" customHeight="1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ht="15.75" customHeight="1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ht="15.75" customHeight="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ht="15.75" customHeight="1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ht="15.75" customHeight="1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ht="15.75" customHeight="1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ht="15.75" customHeight="1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ht="15.75" customHeight="1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ht="15.75" customHeight="1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ht="15.75" customHeight="1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ht="15.75" customHeight="1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ht="15.75" customHeight="1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ht="15.75" customHeight="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ht="15.75" customHeight="1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ht="15.75" customHeight="1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ht="15.75" customHeight="1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ht="15.75" customHeight="1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ht="15.75" customHeight="1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ht="15.75" customHeight="1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ht="15.75" customHeight="1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ht="15.75" customHeight="1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ht="15.75" customHeight="1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ht="15.75" customHeight="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ht="15.75" customHeight="1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ht="15.75" customHeight="1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ht="15.75" customHeight="1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ht="15.75" customHeight="1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ht="15.75" customHeight="1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ht="15.75" customHeight="1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ht="15.75" customHeight="1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ht="15.75" customHeight="1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ht="15.75" customHeight="1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ht="15.75" customHeight="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ht="15.75" customHeight="1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ht="15.75" customHeight="1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ht="15.75" customHeight="1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ht="15.75" customHeight="1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ht="15.75" customHeight="1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ht="15.75" customHeight="1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ht="15.75" customHeight="1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ht="15.75" customHeight="1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ht="15.75" customHeight="1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ht="15.75" customHeight="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ht="15.75" customHeight="1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ht="15.75" customHeight="1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ht="15.75" customHeight="1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ht="15.75" customHeight="1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ht="15.75" customHeight="1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ht="15.75" customHeight="1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ht="15.75" customHeight="1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ht="15.75" customHeight="1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ht="15.75" customHeight="1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ht="15.75" customHeight="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ht="15.75" customHeight="1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ht="15.75" customHeight="1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ht="15.75" customHeight="1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ht="15.75" customHeight="1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ht="15.75" customHeight="1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ht="15.75" customHeight="1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ht="15.75" customHeight="1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ht="15.75" customHeight="1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ht="15.75" customHeight="1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ht="15.75" customHeight="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ht="15.75" customHeight="1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ht="15.75" customHeight="1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ht="15.75" customHeight="1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ht="15.75" customHeight="1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ht="15.75" customHeight="1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ht="15.75" customHeight="1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ht="15.75" customHeight="1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ht="15.75" customHeight="1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ht="15.75" customHeight="1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ht="15.75" customHeight="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ht="15.75" customHeight="1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ht="15.75" customHeight="1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ht="15.75" customHeight="1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ht="15.75" customHeight="1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ht="15.75" customHeight="1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ht="15.75" customHeight="1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ht="15.75" customHeight="1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ht="15.75" customHeight="1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ht="15.75" customHeight="1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ht="15.75" customHeight="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ht="15.75" customHeight="1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ht="15.75" customHeight="1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ht="15.75" customHeight="1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ht="15.75" customHeight="1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ht="15.75" customHeight="1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ht="15.75" customHeight="1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ht="15.75" customHeight="1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ht="15.75" customHeight="1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ht="15.75" customHeight="1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ht="15.75" customHeight="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ht="15.75" customHeight="1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ht="15.75" customHeight="1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ht="15.75" customHeight="1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ht="15.75" customHeight="1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ht="15.75" customHeight="1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ht="15.75" customHeight="1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ht="15.75" customHeight="1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ht="15.75" customHeight="1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ht="15.75" customHeight="1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ht="15.75" customHeight="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ht="15.75" customHeight="1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ht="15.75" customHeight="1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ht="15.75" customHeight="1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ht="15.75" customHeight="1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ht="15.75" customHeight="1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ht="15.75" customHeight="1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ht="15.75" customHeight="1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ht="15.75" customHeight="1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ht="15.75" customHeight="1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ht="15.75" customHeight="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ht="15.75" customHeight="1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ht="15.75" customHeight="1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ht="15.75" customHeight="1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ht="15.75" customHeight="1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ht="15.75" customHeight="1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ht="15.75" customHeight="1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ht="15.75" customHeight="1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ht="15.75" customHeight="1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ht="15.75" customHeight="1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ht="15.75" customHeight="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ht="15.75" customHeight="1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ht="15.75" customHeight="1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ht="15.75" customHeight="1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ht="15.75" customHeight="1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ht="15.75" customHeight="1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ht="15.75" customHeight="1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ht="15.75" customHeight="1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ht="15.75" customHeight="1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ht="15.75" customHeight="1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ht="15.75" customHeight="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ht="15.75" customHeight="1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ht="15.75" customHeight="1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ht="15.75" customHeight="1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ht="15.75" customHeight="1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ht="15.75" customHeight="1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ht="15.75" customHeight="1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ht="15.75" customHeight="1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ht="15.75" customHeight="1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ht="15.75" customHeight="1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ht="15.75" customHeight="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ht="15.75" customHeight="1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ht="15.75" customHeight="1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ht="15.75" customHeight="1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ht="15.75" customHeight="1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ht="15.75" customHeight="1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ht="15.75" customHeight="1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ht="15.75" customHeight="1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ht="15.75" customHeight="1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ht="15.75" customHeight="1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ht="15.75" customHeight="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ht="15.75" customHeight="1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ht="15.75" customHeight="1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ht="15.75" customHeight="1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ht="15.75" customHeight="1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ht="15.75" customHeight="1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ht="15.75" customHeight="1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ht="15.75" customHeight="1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ht="15.75" customHeight="1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ht="15.75" customHeight="1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ht="15.75" customHeight="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ht="15.75" customHeight="1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ht="15.75" customHeight="1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ht="15.75" customHeight="1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ht="15.75" customHeight="1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ht="15.75" customHeight="1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ht="15.75" customHeight="1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ht="15.75" customHeight="1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ht="15.75" customHeight="1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ht="15.75" customHeight="1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ht="15.75" customHeight="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ht="15.75" customHeight="1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ht="15.75" customHeight="1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ht="15.75" customHeight="1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ht="15.75" customHeight="1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ht="15.75" customHeight="1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ht="15.75" customHeight="1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ht="15.75" customHeight="1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ht="15.75" customHeight="1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ht="15.75" customHeight="1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ht="15.75" customHeight="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ht="15.75" customHeight="1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ht="15.75" customHeight="1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ht="15.75" customHeight="1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ht="15.75" customHeight="1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ht="15.75" customHeight="1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ht="15.75" customHeight="1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ht="15.75" customHeight="1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ht="15.75" customHeight="1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ht="15.75" customHeight="1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ht="15.75" customHeight="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ht="15.75" customHeight="1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ht="15.75" customHeight="1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ht="15.75" customHeight="1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ht="15.75" customHeight="1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ht="15.75" customHeight="1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ht="15.75" customHeight="1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ht="15.75" customHeight="1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ht="15.75" customHeight="1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ht="15.75" customHeight="1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ht="15.75" customHeight="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ht="15.75" customHeight="1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ht="15.75" customHeight="1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ht="15.75" customHeight="1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ht="15.75" customHeight="1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ht="15.75" customHeight="1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ht="15.75" customHeight="1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ht="15.75" customHeight="1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ht="15.75" customHeight="1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ht="15.75" customHeight="1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ht="15.75" customHeight="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ht="15.75" customHeight="1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ht="15.75" customHeight="1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ht="15.75" customHeight="1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ht="15.75" customHeight="1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ht="15.75" customHeight="1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ht="15.75" customHeight="1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ht="15.75" customHeight="1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ht="15.75" customHeight="1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ht="15.75" customHeight="1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ht="15.75" customHeight="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ht="15.75" customHeight="1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ht="15.75" customHeight="1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ht="15.75" customHeight="1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ht="15.75" customHeight="1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ht="15.75" customHeight="1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ht="15.75" customHeight="1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ht="15.75" customHeight="1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ht="15.75" customHeight="1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ht="15.75" customHeight="1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ht="15.75" customHeight="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ht="15.75" customHeight="1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ht="15.75" customHeight="1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ht="15.75" customHeight="1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ht="15.75" customHeight="1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ht="15.75" customHeight="1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ht="15.75" customHeight="1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ht="15.75" customHeight="1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ht="15.75" customHeight="1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ht="15.75" customHeight="1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ht="15.75" customHeight="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ht="15.75" customHeight="1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ht="15.75" customHeight="1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ht="15.75" customHeight="1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ht="15.75" customHeight="1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ht="15.75" customHeight="1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ht="15.75" customHeight="1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ht="15.75" customHeight="1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ht="15.75" customHeight="1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ht="15.75" customHeight="1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ht="15.75" customHeight="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ht="15.75" customHeight="1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ht="15.75" customHeight="1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ht="15.75" customHeight="1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ht="15.75" customHeight="1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ht="15.75" customHeight="1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ht="15.75" customHeight="1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ht="15.75" customHeight="1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ht="15.75" customHeight="1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ht="15.75" customHeight="1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ht="15.75" customHeight="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ht="15.75" customHeight="1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ht="15.75" customHeight="1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ht="15.75" customHeight="1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ht="15.75" customHeight="1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ht="15.75" customHeight="1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ht="15.75" customHeight="1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ht="15.75" customHeight="1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ht="15.75" customHeight="1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ht="15.75" customHeight="1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ht="15.75" customHeight="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ht="15.75" customHeight="1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ht="15.75" customHeight="1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ht="15.75" customHeight="1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ht="15.75" customHeight="1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ht="15.75" customHeight="1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ht="15.75" customHeight="1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ht="15.75" customHeight="1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ht="15.75" customHeight="1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ht="15.75" customHeight="1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ht="15.75" customHeight="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ht="15.75" customHeight="1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ht="15.75" customHeight="1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ht="15.75" customHeight="1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ht="15.75" customHeight="1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ht="15.75" customHeight="1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ht="15.75" customHeight="1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ht="15.75" customHeight="1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ht="15.75" customHeight="1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ht="15.75" customHeight="1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ht="15.75" customHeight="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ht="15.75" customHeight="1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ht="15.75" customHeight="1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ht="15.75" customHeight="1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ht="15.75" customHeight="1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ht="15.75" customHeight="1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ht="15.75" customHeight="1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ht="15.75" customHeight="1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ht="15.75" customHeight="1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ht="15.75" customHeight="1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ht="15.75" customHeight="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ht="15.75" customHeight="1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ht="15.75" customHeight="1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ht="15.75" customHeight="1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ht="15.75" customHeight="1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ht="15.75" customHeight="1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ht="15.75" customHeight="1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ht="15.75" customHeight="1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ht="15.75" customHeight="1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ht="15.75" customHeight="1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ht="15.75" customHeight="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ht="15.75" customHeight="1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ht="15.75" customHeight="1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ht="15.75" customHeight="1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ht="15.75" customHeight="1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ht="15.75" customHeight="1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ht="15.75" customHeight="1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ht="15.75" customHeight="1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ht="15.75" customHeight="1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ht="15.75" customHeight="1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ht="15.75" customHeight="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ht="15.75" customHeight="1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ht="15.75" customHeight="1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ht="15.75" customHeight="1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ht="15.75" customHeight="1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ht="15.75" customHeight="1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ht="15.75" customHeight="1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ht="15.75" customHeight="1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ht="15.75" customHeight="1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ht="15.75" customHeight="1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ht="15.75" customHeight="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ht="15.75" customHeight="1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ht="15.75" customHeight="1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ht="15.75" customHeight="1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ht="15.75" customHeight="1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ht="15.75" customHeight="1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ht="15.75" customHeight="1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ht="15.75" customHeight="1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ht="15.75" customHeight="1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ht="15.75" customHeight="1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ht="15.75" customHeight="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ht="15.75" customHeight="1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ht="15.75" customHeight="1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ht="15.75" customHeight="1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ht="15.75" customHeight="1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ht="15.75" customHeight="1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ht="15.75" customHeight="1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ht="15.75" customHeight="1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ht="15.75" customHeight="1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ht="15.75" customHeight="1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ht="15.75" customHeight="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ht="15.75" customHeight="1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ht="15.75" customHeight="1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ht="15.75" customHeight="1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ht="15.75" customHeight="1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ht="15.75" customHeight="1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ht="15.75" customHeight="1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ht="15.75" customHeight="1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ht="15.75" customHeight="1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ht="15.75" customHeight="1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ht="15.75" customHeight="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ht="15.75" customHeight="1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ht="15.75" customHeight="1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ht="15.75" customHeight="1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ht="15.75" customHeight="1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ht="15.75" customHeight="1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ht="15.75" customHeight="1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ht="15.75" customHeight="1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ht="15.75" customHeight="1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ht="15.75" customHeight="1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ht="15.75" customHeight="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ht="15.75" customHeight="1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ht="15.75" customHeight="1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ht="15.75" customHeight="1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ht="15.75" customHeight="1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ht="15.75" customHeight="1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ht="15.75" customHeight="1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ht="15.75" customHeight="1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ht="15.75" customHeight="1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ht="15.75" customHeight="1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ht="15.75" customHeight="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ht="15.75" customHeight="1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ht="15.75" customHeight="1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ht="15.75" customHeight="1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ht="15.75" customHeight="1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ht="15.75" customHeight="1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ht="15.75" customHeight="1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ht="15.75" customHeight="1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ht="15.75" customHeight="1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ht="15.75" customHeight="1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ht="15.75" customHeight="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ht="15.75" customHeight="1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ht="15.75" customHeight="1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ht="15.75" customHeight="1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ht="15.75" customHeight="1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ht="15.75" customHeight="1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ht="15.75" customHeight="1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ht="15.75" customHeight="1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ht="15.75" customHeight="1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ht="15.75" customHeight="1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ht="15.75" customHeight="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ht="15.75" customHeight="1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ht="15.75" customHeight="1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ht="15.75" customHeight="1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ht="15.75" customHeight="1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ht="15.75" customHeight="1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ht="15.75" customHeight="1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ht="15.75" customHeight="1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ht="15.75" customHeight="1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ht="15.75" customHeight="1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ht="15.75" customHeight="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ht="15.75" customHeight="1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ht="15.75" customHeight="1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ht="15.75" customHeight="1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ht="15.75" customHeight="1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ht="15.75" customHeight="1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ht="15.75" customHeight="1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ht="15.75" customHeight="1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ht="15.75" customHeight="1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ht="15.75" customHeight="1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ht="15.75" customHeight="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ht="15.75" customHeight="1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ht="15.75" customHeight="1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ht="15.75" customHeight="1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ht="15.75" customHeight="1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ht="15.75" customHeight="1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ht="15.75" customHeight="1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ht="15.75" customHeight="1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ht="15.75" customHeight="1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ht="15.75" customHeight="1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ht="15.75" customHeight="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ht="15.75" customHeight="1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ht="15.75" customHeight="1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ht="15.75" customHeight="1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ht="15.75" customHeight="1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ht="15.75" customHeight="1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ht="15.75" customHeight="1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ht="15.75" customHeight="1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ht="15.75" customHeight="1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ht="15.75" customHeight="1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ht="15.75" customHeight="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ht="15.75" customHeight="1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ht="15.75" customHeight="1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ht="15.75" customHeight="1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ht="15.75" customHeight="1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ht="15.75" customHeight="1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ht="15.75" customHeight="1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ht="15.75" customHeight="1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ht="15.75" customHeight="1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ht="15.75" customHeight="1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ht="15.75" customHeight="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ht="15.75" customHeight="1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ht="15.75" customHeight="1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ht="15.75" customHeight="1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ht="15.75" customHeight="1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ht="15.75" customHeight="1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ht="15.75" customHeight="1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ht="15.75" customHeight="1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ht="15.75" customHeight="1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ht="15.75" customHeight="1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ht="15.75" customHeight="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ht="15.75" customHeight="1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ht="15.75" customHeight="1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ht="15.75" customHeight="1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ht="15.75" customHeight="1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ht="15.75" customHeight="1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ht="15.75" customHeight="1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ht="15.75" customHeight="1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ht="15.75" customHeight="1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ht="15.75" customHeight="1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ht="15.75" customHeight="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ht="15.75" customHeight="1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ht="15.75" customHeight="1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ht="15.75" customHeight="1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ht="15.75" customHeight="1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ht="15.75" customHeight="1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ht="15.75" customHeight="1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ht="15.75" customHeight="1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ht="15.75" customHeight="1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ht="15.75" customHeight="1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ht="15.75" customHeight="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ht="15.75" customHeight="1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ht="15.75" customHeight="1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ht="15.75" customHeight="1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ht="15.75" customHeight="1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ht="15.75" customHeight="1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ht="15.75" customHeight="1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ht="15.75" customHeight="1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ht="15.75" customHeight="1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ht="15.75" customHeight="1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ht="15.75" customHeight="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ht="15.75" customHeight="1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ht="15.75" customHeight="1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ht="15.75" customHeight="1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ht="15.75" customHeight="1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ht="15.75" customHeight="1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ht="15.75" customHeight="1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ht="15.75" customHeight="1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ht="15.75" customHeight="1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ht="15.75" customHeight="1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ht="15.75" customHeight="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ht="15.75" customHeight="1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ht="15.75" customHeight="1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ht="15.75" customHeight="1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ht="15.75" customHeight="1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ht="15.75" customHeight="1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ht="15.75" customHeight="1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ht="15.75" customHeight="1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ht="15.75" customHeight="1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ht="15.75" customHeight="1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ht="15.75" customHeight="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ht="15.75" customHeight="1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ht="15.75" customHeight="1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ht="15.75" customHeight="1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ht="15.75" customHeight="1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ht="15.75" customHeight="1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ht="15.75" customHeight="1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ht="15.75" customHeight="1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ht="15.75" customHeight="1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ht="15.75" customHeight="1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ht="15.75" customHeight="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ht="15.75" customHeight="1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ht="15.75" customHeight="1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ht="15.75" customHeight="1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ht="15.75" customHeight="1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ht="15.75" customHeight="1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ht="15.75" customHeight="1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ht="15.75" customHeight="1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ht="15.75" customHeight="1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ht="15.75" customHeight="1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ht="15.75" customHeight="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ht="15.75" customHeight="1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ht="15.75" customHeight="1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ht="15.75" customHeight="1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ht="15.75" customHeight="1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ht="15.75" customHeight="1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ht="15.75" customHeight="1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ht="15.75" customHeight="1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ht="15.75" customHeight="1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ht="15.75" customHeight="1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ht="15.75" customHeight="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ht="15.75" customHeight="1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ht="15.75" customHeight="1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ht="15.75" customHeight="1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 ht="15.75" customHeight="1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 ht="15.75" customHeight="1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 ht="15.75" customHeight="1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 ht="15.75" customHeight="1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 ht="15.75" customHeight="1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 ht="15.75" customHeight="1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mergeCells count="7">
    <mergeCell ref="A1:E1"/>
    <mergeCell ref="A2:E2"/>
    <mergeCell ref="A4:E4"/>
    <mergeCell ref="A13:E13"/>
    <mergeCell ref="A30:E30"/>
    <mergeCell ref="A31:E31"/>
    <mergeCell ref="A32:E32"/>
  </mergeCells>
  <printOptions/>
  <pageMargins bottom="0.5" footer="0.0" header="0.0" left="1.0" right="0.475694444444445" top="0.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4.0"/>
    <col customWidth="1" min="3" max="14" width="10.0"/>
    <col customWidth="1" min="15" max="16" width="14.0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5" t="s">
        <v>97</v>
      </c>
      <c r="Q2" s="4"/>
      <c r="R2" s="4"/>
      <c r="S2" s="4"/>
      <c r="T2" s="4"/>
      <c r="U2" s="4"/>
      <c r="V2" s="4"/>
      <c r="W2" s="4"/>
      <c r="X2" s="4"/>
      <c r="Y2" s="4"/>
      <c r="Z2" s="4"/>
    </row>
    <row r="3" ht="7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5.5" customHeight="1">
      <c r="A4" s="6" t="s">
        <v>98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3"/>
      <c r="Q4" s="4"/>
      <c r="R4" s="4"/>
      <c r="S4" s="4"/>
      <c r="T4" s="4"/>
      <c r="U4" s="4"/>
      <c r="V4" s="4"/>
      <c r="W4" s="4"/>
      <c r="X4" s="4"/>
      <c r="Y4" s="4"/>
      <c r="Z4" s="4"/>
    </row>
    <row r="5" ht="17.25" customHeight="1">
      <c r="A5" s="62" t="s">
        <v>9</v>
      </c>
      <c r="B5" s="63" t="s">
        <v>99</v>
      </c>
      <c r="C5" s="63" t="s">
        <v>100</v>
      </c>
      <c r="D5" s="63" t="s">
        <v>101</v>
      </c>
      <c r="E5" s="63" t="s">
        <v>102</v>
      </c>
      <c r="F5" s="63" t="s">
        <v>103</v>
      </c>
      <c r="G5" s="63" t="s">
        <v>104</v>
      </c>
      <c r="H5" s="63" t="s">
        <v>105</v>
      </c>
      <c r="I5" s="63" t="s">
        <v>106</v>
      </c>
      <c r="J5" s="63" t="s">
        <v>107</v>
      </c>
      <c r="K5" s="63" t="s">
        <v>108</v>
      </c>
      <c r="L5" s="63" t="s">
        <v>109</v>
      </c>
      <c r="M5" s="63" t="s">
        <v>110</v>
      </c>
      <c r="N5" s="63" t="s">
        <v>111</v>
      </c>
      <c r="O5" s="63" t="s">
        <v>112</v>
      </c>
      <c r="P5" s="63" t="s">
        <v>113</v>
      </c>
      <c r="Q5" s="64"/>
      <c r="R5" s="64"/>
      <c r="S5" s="64"/>
      <c r="T5" s="64"/>
      <c r="U5" s="64"/>
      <c r="V5" s="64"/>
      <c r="W5" s="64"/>
      <c r="X5" s="64"/>
      <c r="Y5" s="64"/>
      <c r="Z5" s="64"/>
    </row>
    <row r="6" ht="15.0" customHeight="1">
      <c r="A6" s="18" t="s">
        <v>114</v>
      </c>
      <c r="B6" s="19">
        <v>0.0</v>
      </c>
      <c r="C6" s="19">
        <v>0.0</v>
      </c>
      <c r="D6" s="19">
        <v>0.0</v>
      </c>
      <c r="E6" s="19">
        <v>2600.0</v>
      </c>
      <c r="F6" s="19">
        <v>0.0</v>
      </c>
      <c r="G6" s="19">
        <v>0.0</v>
      </c>
      <c r="H6" s="19">
        <v>0.0</v>
      </c>
      <c r="I6" s="19">
        <v>0.0</v>
      </c>
      <c r="J6" s="19">
        <v>0.0</v>
      </c>
      <c r="K6" s="19">
        <v>0.0</v>
      </c>
      <c r="L6" s="19">
        <v>0.0</v>
      </c>
      <c r="M6" s="19">
        <v>0.0</v>
      </c>
      <c r="N6" s="19">
        <v>0.0</v>
      </c>
      <c r="O6" s="32">
        <f t="shared" ref="O6:O9" si="1">SUM(C6:N6)</f>
        <v>2600</v>
      </c>
      <c r="P6" s="65">
        <f t="shared" ref="P6:P10" si="2">B6-O6</f>
        <v>-2600</v>
      </c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22" t="s">
        <v>115</v>
      </c>
      <c r="B7" s="23">
        <v>0.0</v>
      </c>
      <c r="C7" s="23">
        <v>250.0</v>
      </c>
      <c r="D7" s="23">
        <v>500.0</v>
      </c>
      <c r="E7" s="23">
        <v>2500.0</v>
      </c>
      <c r="F7" s="23">
        <v>2500.0</v>
      </c>
      <c r="G7" s="23">
        <v>0.0</v>
      </c>
      <c r="H7" s="23">
        <v>0.0</v>
      </c>
      <c r="I7" s="23">
        <v>0.0</v>
      </c>
      <c r="J7" s="23">
        <v>0.0</v>
      </c>
      <c r="K7" s="23">
        <v>0.0</v>
      </c>
      <c r="L7" s="23">
        <v>0.0</v>
      </c>
      <c r="M7" s="23">
        <v>0.0</v>
      </c>
      <c r="N7" s="23">
        <v>0.0</v>
      </c>
      <c r="O7" s="34">
        <f t="shared" si="1"/>
        <v>5750</v>
      </c>
      <c r="P7" s="66">
        <f t="shared" si="2"/>
        <v>-5750</v>
      </c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18" t="s">
        <v>116</v>
      </c>
      <c r="B8" s="19">
        <v>500.0</v>
      </c>
      <c r="C8" s="19">
        <v>120.98</v>
      </c>
      <c r="D8" s="19">
        <v>0.0</v>
      </c>
      <c r="E8" s="19">
        <v>0.0</v>
      </c>
      <c r="F8" s="19">
        <v>0.0</v>
      </c>
      <c r="G8" s="19">
        <v>0.0</v>
      </c>
      <c r="H8" s="19">
        <v>0.0</v>
      </c>
      <c r="I8" s="19">
        <v>0.0</v>
      </c>
      <c r="J8" s="19">
        <v>0.0</v>
      </c>
      <c r="K8" s="19">
        <v>0.0</v>
      </c>
      <c r="L8" s="19">
        <v>0.0</v>
      </c>
      <c r="M8" s="19">
        <v>0.0</v>
      </c>
      <c r="N8" s="19">
        <v>0.0</v>
      </c>
      <c r="O8" s="32">
        <f t="shared" si="1"/>
        <v>120.98</v>
      </c>
      <c r="P8" s="65">
        <f t="shared" si="2"/>
        <v>379.02</v>
      </c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22" t="s">
        <v>117</v>
      </c>
      <c r="B9" s="23">
        <v>0.0</v>
      </c>
      <c r="C9" s="23">
        <v>7500.0</v>
      </c>
      <c r="D9" s="23">
        <v>0.0</v>
      </c>
      <c r="E9" s="23">
        <v>5000.0</v>
      </c>
      <c r="F9" s="23">
        <v>0.0</v>
      </c>
      <c r="G9" s="23">
        <v>0.0</v>
      </c>
      <c r="H9" s="23">
        <v>0.0</v>
      </c>
      <c r="I9" s="23">
        <v>0.0</v>
      </c>
      <c r="J9" s="23">
        <v>0.0</v>
      </c>
      <c r="K9" s="23">
        <v>0.0</v>
      </c>
      <c r="L9" s="23">
        <v>0.0</v>
      </c>
      <c r="M9" s="23">
        <v>0.0</v>
      </c>
      <c r="N9" s="23">
        <v>0.0</v>
      </c>
      <c r="O9" s="34">
        <f t="shared" si="1"/>
        <v>12500</v>
      </c>
      <c r="P9" s="66">
        <f t="shared" si="2"/>
        <v>-12500</v>
      </c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26" t="s">
        <v>118</v>
      </c>
      <c r="B10" s="27">
        <v>100000.0</v>
      </c>
      <c r="C10" s="27">
        <f t="shared" ref="C10:O10" si="3">SUM(C6:C9)</f>
        <v>7870.98</v>
      </c>
      <c r="D10" s="27">
        <f t="shared" si="3"/>
        <v>500</v>
      </c>
      <c r="E10" s="27">
        <f t="shared" si="3"/>
        <v>10100</v>
      </c>
      <c r="F10" s="27">
        <f t="shared" si="3"/>
        <v>2500</v>
      </c>
      <c r="G10" s="27">
        <f t="shared" si="3"/>
        <v>0</v>
      </c>
      <c r="H10" s="27">
        <f t="shared" si="3"/>
        <v>0</v>
      </c>
      <c r="I10" s="27">
        <f t="shared" si="3"/>
        <v>0</v>
      </c>
      <c r="J10" s="27">
        <f t="shared" si="3"/>
        <v>0</v>
      </c>
      <c r="K10" s="27">
        <f t="shared" si="3"/>
        <v>0</v>
      </c>
      <c r="L10" s="27">
        <f t="shared" si="3"/>
        <v>0</v>
      </c>
      <c r="M10" s="27">
        <f t="shared" si="3"/>
        <v>0</v>
      </c>
      <c r="N10" s="27">
        <f t="shared" si="3"/>
        <v>0</v>
      </c>
      <c r="O10" s="27">
        <f t="shared" si="3"/>
        <v>20970.98</v>
      </c>
      <c r="P10" s="27">
        <f t="shared" si="2"/>
        <v>79029.02</v>
      </c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7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5.5" customHeight="1">
      <c r="A12" s="6" t="s">
        <v>119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3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17" t="s">
        <v>20</v>
      </c>
      <c r="B13" s="17" t="s">
        <v>99</v>
      </c>
      <c r="C13" s="63" t="s">
        <v>100</v>
      </c>
      <c r="D13" s="63" t="s">
        <v>101</v>
      </c>
      <c r="E13" s="63" t="s">
        <v>102</v>
      </c>
      <c r="F13" s="63" t="s">
        <v>103</v>
      </c>
      <c r="G13" s="63" t="s">
        <v>104</v>
      </c>
      <c r="H13" s="63" t="s">
        <v>105</v>
      </c>
      <c r="I13" s="63" t="s">
        <v>106</v>
      </c>
      <c r="J13" s="63" t="s">
        <v>107</v>
      </c>
      <c r="K13" s="63" t="s">
        <v>108</v>
      </c>
      <c r="L13" s="63" t="s">
        <v>109</v>
      </c>
      <c r="M13" s="63" t="s">
        <v>110</v>
      </c>
      <c r="N13" s="63" t="s">
        <v>111</v>
      </c>
      <c r="O13" s="17" t="s">
        <v>112</v>
      </c>
      <c r="P13" s="17" t="s">
        <v>113</v>
      </c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18" t="s">
        <v>34</v>
      </c>
      <c r="B14" s="19">
        <v>282.0</v>
      </c>
      <c r="C14" s="19">
        <v>103.5</v>
      </c>
      <c r="D14" s="19">
        <v>23.5</v>
      </c>
      <c r="E14" s="19">
        <v>23.5</v>
      </c>
      <c r="F14" s="19">
        <v>0.0</v>
      </c>
      <c r="G14" s="19">
        <v>0.0</v>
      </c>
      <c r="H14" s="19">
        <v>0.0</v>
      </c>
      <c r="I14" s="19">
        <v>0.0</v>
      </c>
      <c r="J14" s="19">
        <v>0.0</v>
      </c>
      <c r="K14" s="19">
        <v>0.0</v>
      </c>
      <c r="L14" s="19">
        <v>0.0</v>
      </c>
      <c r="M14" s="19">
        <v>0.0</v>
      </c>
      <c r="N14" s="19">
        <v>0.0</v>
      </c>
      <c r="O14" s="32">
        <f t="shared" ref="O14:O21" si="4">SUM(C14:N14)</f>
        <v>150.5</v>
      </c>
      <c r="P14" s="65">
        <f t="shared" ref="P14:P22" si="5">B14-O14</f>
        <v>131.5</v>
      </c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22" t="s">
        <v>36</v>
      </c>
      <c r="B15" s="23">
        <v>100.0</v>
      </c>
      <c r="C15" s="23">
        <v>13.48</v>
      </c>
      <c r="D15" s="23">
        <v>0.0</v>
      </c>
      <c r="E15" s="23">
        <v>0.0</v>
      </c>
      <c r="F15" s="23">
        <v>0.0</v>
      </c>
      <c r="G15" s="23">
        <v>0.0</v>
      </c>
      <c r="H15" s="23">
        <v>0.0</v>
      </c>
      <c r="I15" s="23">
        <v>0.0</v>
      </c>
      <c r="J15" s="23">
        <v>0.0</v>
      </c>
      <c r="K15" s="23">
        <v>0.0</v>
      </c>
      <c r="L15" s="23">
        <v>0.0</v>
      </c>
      <c r="M15" s="23">
        <v>0.0</v>
      </c>
      <c r="N15" s="23">
        <v>0.0</v>
      </c>
      <c r="O15" s="34">
        <f t="shared" si="4"/>
        <v>13.48</v>
      </c>
      <c r="P15" s="66">
        <f t="shared" si="5"/>
        <v>86.52</v>
      </c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18" t="s">
        <v>38</v>
      </c>
      <c r="B16" s="19">
        <v>100.0</v>
      </c>
      <c r="C16" s="19">
        <v>21.37</v>
      </c>
      <c r="D16" s="19">
        <v>0.0</v>
      </c>
      <c r="E16" s="19">
        <v>0.0</v>
      </c>
      <c r="F16" s="19">
        <v>0.0</v>
      </c>
      <c r="G16" s="19">
        <v>0.0</v>
      </c>
      <c r="H16" s="19">
        <v>0.0</v>
      </c>
      <c r="I16" s="19">
        <v>0.0</v>
      </c>
      <c r="J16" s="19">
        <v>0.0</v>
      </c>
      <c r="K16" s="19">
        <v>0.0</v>
      </c>
      <c r="L16" s="19">
        <v>0.0</v>
      </c>
      <c r="M16" s="19">
        <v>0.0</v>
      </c>
      <c r="N16" s="19">
        <v>0.0</v>
      </c>
      <c r="O16" s="32">
        <f t="shared" si="4"/>
        <v>21.37</v>
      </c>
      <c r="P16" s="65">
        <f t="shared" si="5"/>
        <v>78.63</v>
      </c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22" t="s">
        <v>120</v>
      </c>
      <c r="B17" s="23">
        <v>0.0</v>
      </c>
      <c r="C17" s="23">
        <v>1123.79</v>
      </c>
      <c r="D17" s="23">
        <v>0.0</v>
      </c>
      <c r="E17" s="23">
        <v>0.0</v>
      </c>
      <c r="F17" s="23">
        <v>0.0</v>
      </c>
      <c r="G17" s="23">
        <v>0.0</v>
      </c>
      <c r="H17" s="23">
        <v>0.0</v>
      </c>
      <c r="I17" s="23">
        <v>0.0</v>
      </c>
      <c r="J17" s="23">
        <v>0.0</v>
      </c>
      <c r="K17" s="23">
        <v>0.0</v>
      </c>
      <c r="L17" s="23">
        <v>0.0</v>
      </c>
      <c r="M17" s="23">
        <v>0.0</v>
      </c>
      <c r="N17" s="23">
        <v>0.0</v>
      </c>
      <c r="O17" s="34">
        <f t="shared" si="4"/>
        <v>1123.79</v>
      </c>
      <c r="P17" s="66">
        <f t="shared" si="5"/>
        <v>-1123.79</v>
      </c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18" t="s">
        <v>40</v>
      </c>
      <c r="B18" s="19">
        <v>1200.0</v>
      </c>
      <c r="C18" s="19">
        <v>0.0</v>
      </c>
      <c r="D18" s="19">
        <v>0.0</v>
      </c>
      <c r="E18" s="19">
        <v>0.0</v>
      </c>
      <c r="F18" s="19">
        <v>0.0</v>
      </c>
      <c r="G18" s="19">
        <v>0.0</v>
      </c>
      <c r="H18" s="19">
        <v>0.0</v>
      </c>
      <c r="I18" s="19">
        <v>0.0</v>
      </c>
      <c r="J18" s="19">
        <v>0.0</v>
      </c>
      <c r="K18" s="19">
        <v>0.0</v>
      </c>
      <c r="L18" s="19">
        <v>0.0</v>
      </c>
      <c r="M18" s="19">
        <v>0.0</v>
      </c>
      <c r="N18" s="19">
        <v>0.0</v>
      </c>
      <c r="O18" s="32">
        <f t="shared" si="4"/>
        <v>0</v>
      </c>
      <c r="P18" s="65">
        <f t="shared" si="5"/>
        <v>1200</v>
      </c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22" t="s">
        <v>121</v>
      </c>
      <c r="B19" s="23">
        <v>0.0</v>
      </c>
      <c r="C19" s="23">
        <v>74.98</v>
      </c>
      <c r="D19" s="23">
        <v>0.0</v>
      </c>
      <c r="E19" s="23">
        <v>0.0</v>
      </c>
      <c r="F19" s="23">
        <v>0.0</v>
      </c>
      <c r="G19" s="23">
        <v>0.0</v>
      </c>
      <c r="H19" s="23">
        <v>0.0</v>
      </c>
      <c r="I19" s="23">
        <v>0.0</v>
      </c>
      <c r="J19" s="23">
        <v>0.0</v>
      </c>
      <c r="K19" s="23">
        <v>0.0</v>
      </c>
      <c r="L19" s="23">
        <v>0.0</v>
      </c>
      <c r="M19" s="23">
        <v>0.0</v>
      </c>
      <c r="N19" s="23">
        <v>0.0</v>
      </c>
      <c r="O19" s="34">
        <f t="shared" si="4"/>
        <v>74.98</v>
      </c>
      <c r="P19" s="66">
        <f t="shared" si="5"/>
        <v>-74.98</v>
      </c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18" t="s">
        <v>42</v>
      </c>
      <c r="B20" s="19">
        <v>25.0</v>
      </c>
      <c r="C20" s="19">
        <v>0.0</v>
      </c>
      <c r="D20" s="19">
        <v>0.0</v>
      </c>
      <c r="E20" s="19">
        <v>0.0</v>
      </c>
      <c r="F20" s="19">
        <v>0.0</v>
      </c>
      <c r="G20" s="19">
        <v>0.0</v>
      </c>
      <c r="H20" s="19">
        <v>0.0</v>
      </c>
      <c r="I20" s="19">
        <v>0.0</v>
      </c>
      <c r="J20" s="19">
        <v>0.0</v>
      </c>
      <c r="K20" s="19">
        <v>0.0</v>
      </c>
      <c r="L20" s="19">
        <v>0.0</v>
      </c>
      <c r="M20" s="19">
        <v>0.0</v>
      </c>
      <c r="N20" s="19">
        <v>0.0</v>
      </c>
      <c r="O20" s="32">
        <f t="shared" si="4"/>
        <v>0</v>
      </c>
      <c r="P20" s="65">
        <f t="shared" si="5"/>
        <v>25</v>
      </c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0" customHeight="1">
      <c r="A21" s="22" t="s">
        <v>122</v>
      </c>
      <c r="B21" s="23">
        <v>125000.0</v>
      </c>
      <c r="C21" s="23">
        <v>0.0</v>
      </c>
      <c r="D21" s="23">
        <v>0.0</v>
      </c>
      <c r="E21" s="23">
        <v>0.0</v>
      </c>
      <c r="F21" s="23">
        <v>0.0</v>
      </c>
      <c r="G21" s="23">
        <v>0.0</v>
      </c>
      <c r="H21" s="23">
        <v>0.0</v>
      </c>
      <c r="I21" s="23">
        <v>0.0</v>
      </c>
      <c r="J21" s="23">
        <v>0.0</v>
      </c>
      <c r="K21" s="23">
        <v>0.0</v>
      </c>
      <c r="L21" s="23">
        <v>0.0</v>
      </c>
      <c r="M21" s="23">
        <v>0.0</v>
      </c>
      <c r="N21" s="23">
        <v>0.0</v>
      </c>
      <c r="O21" s="34">
        <f t="shared" si="4"/>
        <v>0</v>
      </c>
      <c r="P21" s="66">
        <f t="shared" si="5"/>
        <v>125000</v>
      </c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0" customHeight="1">
      <c r="A22" s="26" t="s">
        <v>48</v>
      </c>
      <c r="B22" s="27">
        <f t="shared" ref="B22:O22" si="6">SUM(B14:B21)</f>
        <v>126707</v>
      </c>
      <c r="C22" s="27">
        <f t="shared" si="6"/>
        <v>1337.12</v>
      </c>
      <c r="D22" s="27">
        <f t="shared" si="6"/>
        <v>23.5</v>
      </c>
      <c r="E22" s="27">
        <f t="shared" si="6"/>
        <v>23.5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1384.12</v>
      </c>
      <c r="P22" s="27">
        <f t="shared" si="5"/>
        <v>125322.88</v>
      </c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7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5.5" customHeight="1">
      <c r="A24" s="6" t="s">
        <v>123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3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67" t="s">
        <v>124</v>
      </c>
      <c r="B25" s="68">
        <f t="shared" ref="B25:O25" si="7">B10-B22</f>
        <v>-26707</v>
      </c>
      <c r="C25" s="68">
        <f t="shared" si="7"/>
        <v>6533.86</v>
      </c>
      <c r="D25" s="68">
        <f t="shared" si="7"/>
        <v>476.5</v>
      </c>
      <c r="E25" s="68">
        <f t="shared" si="7"/>
        <v>10076.5</v>
      </c>
      <c r="F25" s="68">
        <f t="shared" si="7"/>
        <v>2500</v>
      </c>
      <c r="G25" s="68">
        <f t="shared" si="7"/>
        <v>0</v>
      </c>
      <c r="H25" s="68">
        <f t="shared" si="7"/>
        <v>0</v>
      </c>
      <c r="I25" s="68">
        <f t="shared" si="7"/>
        <v>0</v>
      </c>
      <c r="J25" s="68">
        <f t="shared" si="7"/>
        <v>0</v>
      </c>
      <c r="K25" s="68">
        <f t="shared" si="7"/>
        <v>0</v>
      </c>
      <c r="L25" s="68">
        <f t="shared" si="7"/>
        <v>0</v>
      </c>
      <c r="M25" s="68">
        <f t="shared" si="7"/>
        <v>0</v>
      </c>
      <c r="N25" s="68">
        <f t="shared" si="7"/>
        <v>0</v>
      </c>
      <c r="O25" s="68">
        <f t="shared" si="7"/>
        <v>19586.86</v>
      </c>
      <c r="P25" s="9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7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0.0" customHeight="1">
      <c r="A27" s="69" t="s">
        <v>125</v>
      </c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6">
    <mergeCell ref="A1:P1"/>
    <mergeCell ref="A2:P2"/>
    <mergeCell ref="A4:P4"/>
    <mergeCell ref="A12:P12"/>
    <mergeCell ref="A24:P24"/>
    <mergeCell ref="A27:P27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6" width="16.0"/>
    <col customWidth="1" min="7" max="7" width="28.0"/>
  </cols>
  <sheetData>
    <row r="1" ht="36.0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75" customHeight="1">
      <c r="A2" s="5" t="s">
        <v>126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7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5.5" customHeight="1">
      <c r="A4" s="6" t="s">
        <v>127</v>
      </c>
      <c r="B4" s="2"/>
      <c r="C4" s="2"/>
      <c r="D4" s="2"/>
      <c r="E4" s="2"/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17" t="s">
        <v>128</v>
      </c>
      <c r="B5" s="17" t="s">
        <v>129</v>
      </c>
      <c r="C5" s="17" t="s">
        <v>130</v>
      </c>
      <c r="D5" s="17" t="s">
        <v>131</v>
      </c>
      <c r="E5" s="17" t="s">
        <v>132</v>
      </c>
      <c r="F5" s="17" t="s">
        <v>133</v>
      </c>
      <c r="G5" s="17" t="s">
        <v>11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18" t="s">
        <v>134</v>
      </c>
      <c r="B6" s="18" t="s">
        <v>135</v>
      </c>
      <c r="C6" s="70">
        <v>20135.01</v>
      </c>
      <c r="D6" s="70">
        <v>3200.51</v>
      </c>
      <c r="E6" s="70">
        <v>17400.96</v>
      </c>
      <c r="F6" s="71">
        <f>E6-(C6-D6)</f>
        <v>466.46</v>
      </c>
      <c r="G6" s="21" t="s">
        <v>136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22"/>
      <c r="B7" s="22"/>
      <c r="C7" s="72"/>
      <c r="D7" s="72"/>
      <c r="E7" s="72"/>
      <c r="F7" s="73">
        <f t="shared" ref="F7:F10" si="1">IF(C7&gt;0,E7-(C7-D7),0)</f>
        <v>0</v>
      </c>
      <c r="G7" s="2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18"/>
      <c r="B8" s="18"/>
      <c r="C8" s="70"/>
      <c r="D8" s="70"/>
      <c r="E8" s="70"/>
      <c r="F8" s="71">
        <f t="shared" si="1"/>
        <v>0</v>
      </c>
      <c r="G8" s="21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22"/>
      <c r="B9" s="22"/>
      <c r="C9" s="72"/>
      <c r="D9" s="72"/>
      <c r="E9" s="72"/>
      <c r="F9" s="73">
        <f t="shared" si="1"/>
        <v>0</v>
      </c>
      <c r="G9" s="25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8"/>
      <c r="B10" s="18"/>
      <c r="C10" s="70"/>
      <c r="D10" s="70"/>
      <c r="E10" s="70"/>
      <c r="F10" s="71">
        <f t="shared" si="1"/>
        <v>0</v>
      </c>
      <c r="G10" s="21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26" t="s">
        <v>137</v>
      </c>
      <c r="B11" s="28"/>
      <c r="C11" s="74">
        <f t="shared" ref="C11:F11" si="2">SUM(C6:C10)</f>
        <v>20135.01</v>
      </c>
      <c r="D11" s="74">
        <f t="shared" si="2"/>
        <v>3200.51</v>
      </c>
      <c r="E11" s="74">
        <f t="shared" si="2"/>
        <v>17400.96</v>
      </c>
      <c r="F11" s="75">
        <f t="shared" si="2"/>
        <v>466.46</v>
      </c>
      <c r="G11" s="28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7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44" t="s">
        <v>138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13" t="s">
        <v>139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13" t="s">
        <v>140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13" t="s">
        <v>141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13" t="s">
        <v>142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13" t="s">
        <v>143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9">
    <mergeCell ref="A17:G17"/>
    <mergeCell ref="A18:G18"/>
    <mergeCell ref="A1:G1"/>
    <mergeCell ref="A2:G2"/>
    <mergeCell ref="A4:G4"/>
    <mergeCell ref="A13:G13"/>
    <mergeCell ref="A14:G14"/>
    <mergeCell ref="A15:G15"/>
    <mergeCell ref="A16:G16"/>
  </mergeCells>
  <printOptions/>
  <pageMargins bottom="0.5" footer="0.0" header="0.0" left="0.206944444444444" right="0.124305555555556" top="0.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2026-05-10T18:37:52Z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